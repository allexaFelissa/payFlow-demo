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330" visibility="visible"/>
  </bookViews>
  <sheets>
    <sheet name="June" sheetId="1" r:id="rId4"/>
    <sheet name="New slip" sheetId="2" r:id="rId5"/>
    <sheet name="REKAP" sheetId="3" r:id="rId6"/>
  </sheets>
  <definedNames>
    <definedName name="_xlnm.Print_Titles" localSheetId="0">'June'!$B:$B,'June'!$1:$7</definedName>
    <definedName name="_xlnm.Print_Area" localSheetId="0">'June'!$A$1:$AX$21</definedName>
    <definedName name="_xlnm.Print_Area" localSheetId="1">'New slip'!$B$1:$M$30</definedName>
    <definedName name="_xlnm.Print_Area" localSheetId="2">'REKAP'!$B$3:$K$40</definedName>
  </definedNames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ThinkPad</author>
    <author>USER</author>
  </authors>
  <commentList>
    <comment ref="M10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ThinkPad: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Ada surat dktr</t>
        </r>
      </text>
    </comment>
    <comment ref="AS19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USER: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beli HP, harga 3,7(4,0)
cicil 500rb/bl
(Nov 25 - Jun 26)</t>
        </r>
      </text>
    </comment>
  </commentList>
</comments>
</file>

<file path=xl/sharedStrings.xml><?xml version="1.0" encoding="utf-8"?>
<sst xmlns="http://schemas.openxmlformats.org/spreadsheetml/2006/main" uniqueCount="114">
  <si>
    <t>NAMA PERUSAHAAN</t>
  </si>
  <si>
    <t>PT DEMO NUSANTARA</t>
  </si>
  <si>
    <t>GAJI BULAN</t>
  </si>
  <si>
    <t>June 2026</t>
  </si>
  <si>
    <t>PERIODE</t>
  </si>
  <si>
    <t>22Mayr s/d 21 June 2026</t>
  </si>
  <si>
    <t>PEMBAYARAN</t>
  </si>
  <si>
    <t>-</t>
  </si>
  <si>
    <t>NO</t>
  </si>
  <si>
    <t>N A M A</t>
  </si>
  <si>
    <t>NIK</t>
  </si>
  <si>
    <t>STATUS</t>
  </si>
  <si>
    <t>Sisa Cuti</t>
  </si>
  <si>
    <t>TB &lt;30</t>
  </si>
  <si>
    <t>TB &gt;30</t>
  </si>
  <si>
    <t>C</t>
  </si>
  <si>
    <t>S</t>
  </si>
  <si>
    <t>I</t>
  </si>
  <si>
    <t>A</t>
  </si>
  <si>
    <t>TARIF</t>
  </si>
  <si>
    <t>PENDAPATAN</t>
  </si>
  <si>
    <t>Jml Pendapatan</t>
  </si>
  <si>
    <t>POTONGAN 1</t>
  </si>
  <si>
    <t>POTONGAN 2</t>
  </si>
  <si>
    <t>Dasar Perhitungan BPJS - TK</t>
  </si>
  <si>
    <t>Dasar Perhitungan BPJS - KES</t>
  </si>
  <si>
    <t>Tunjangan Pph21</t>
  </si>
  <si>
    <t>NO REK.</t>
  </si>
  <si>
    <t>JABATAN</t>
  </si>
  <si>
    <t>LOKASI</t>
  </si>
  <si>
    <t>TGL. MASUK</t>
  </si>
  <si>
    <t>HK</t>
  </si>
  <si>
    <t>UH</t>
  </si>
  <si>
    <t>LEMBUR</t>
  </si>
  <si>
    <t>Instf. Kerajinan</t>
  </si>
  <si>
    <t>Pot. Absensi</t>
  </si>
  <si>
    <t>GAJI POKOK</t>
  </si>
  <si>
    <t>Tunj. Antar Cabang</t>
  </si>
  <si>
    <t>Tunj. Komunikasi</t>
  </si>
  <si>
    <t>tunj. Kost / U. Obat</t>
  </si>
  <si>
    <t>Tunj. Jabatan</t>
  </si>
  <si>
    <t>Instf. Prestasi</t>
  </si>
  <si>
    <t>Gaji</t>
  </si>
  <si>
    <t>JHT-P &amp; Pens</t>
  </si>
  <si>
    <t>JKK &amp; JKM</t>
  </si>
  <si>
    <t>BPJS-P</t>
  </si>
  <si>
    <t>Tunj. BPJS</t>
  </si>
  <si>
    <t>THR</t>
  </si>
  <si>
    <t>Pesangon          (info)</t>
  </si>
  <si>
    <t>Tunj. PPh21</t>
  </si>
  <si>
    <t>GROSS 1</t>
  </si>
  <si>
    <t>Pot. BPJS TK Beban Kary</t>
  </si>
  <si>
    <t>GROSS 2</t>
  </si>
  <si>
    <t>PINJAMAN</t>
  </si>
  <si>
    <t>Pot. Tunj BPJS</t>
  </si>
  <si>
    <t>BPJS-K</t>
  </si>
  <si>
    <t>PPh21</t>
  </si>
  <si>
    <t>Ttl. Potongan</t>
  </si>
  <si>
    <t>NETT</t>
  </si>
  <si>
    <t>Kes</t>
  </si>
  <si>
    <t>TK</t>
  </si>
  <si>
    <t>PT Demo Nusantara</t>
  </si>
  <si>
    <t>Salary Slip</t>
  </si>
  <si>
    <t>Personal Data</t>
  </si>
  <si>
    <t>Employee Name</t>
  </si>
  <si>
    <t>Payroll Period</t>
  </si>
  <si>
    <t>:</t>
  </si>
  <si>
    <t>Title</t>
  </si>
  <si>
    <t>Cut Off Period</t>
  </si>
  <si>
    <t>Location</t>
  </si>
  <si>
    <t>Family Status</t>
  </si>
  <si>
    <t>A. Fix Income :</t>
  </si>
  <si>
    <t>C. Deductible</t>
  </si>
  <si>
    <t>Basic Salary</t>
  </si>
  <si>
    <t>Absensi</t>
  </si>
  <si>
    <t>B.  Other Variable Incomes :</t>
  </si>
  <si>
    <t>Potongan BPJS</t>
  </si>
  <si>
    <t>THR LEBARAN</t>
  </si>
  <si>
    <t xml:space="preserve"> - Tunj. Prshan</t>
  </si>
  <si>
    <t>Tunjangan PPh21</t>
  </si>
  <si>
    <t xml:space="preserve"> - Karyawan</t>
  </si>
  <si>
    <t>Uang Harian</t>
  </si>
  <si>
    <t>Potongan PPh 21</t>
  </si>
  <si>
    <t>Inctv Kerajinan</t>
  </si>
  <si>
    <t>Inctv Prestasi</t>
  </si>
  <si>
    <t>Cicilan Pinjaman</t>
  </si>
  <si>
    <t>Lain-2</t>
  </si>
  <si>
    <t>Tunj. Kost/Obat</t>
  </si>
  <si>
    <t>Lembur &amp; Perdin</t>
  </si>
  <si>
    <t>Tunjangan BPJS</t>
  </si>
  <si>
    <t>Penghasilan Bruto</t>
  </si>
  <si>
    <t>D. Total THP</t>
  </si>
  <si>
    <t>REKAP  GAJI BULAN : June 2026</t>
  </si>
  <si>
    <t>PEMBAYARAN TANGGAL  :  30 June 26</t>
  </si>
  <si>
    <t>KETERANGAN</t>
  </si>
  <si>
    <t>RINCIAN</t>
  </si>
  <si>
    <t>JUMLAH</t>
  </si>
  <si>
    <t>Rp.</t>
  </si>
  <si>
    <t>PENDAPATAN  GROSS</t>
  </si>
  <si>
    <t>Iuran BPJS</t>
  </si>
  <si>
    <t>POTONGAN</t>
  </si>
  <si>
    <t>a. Pinjaman</t>
  </si>
  <si>
    <t>b. Jamsostek</t>
  </si>
  <si>
    <t>c. Tax</t>
  </si>
  <si>
    <t>PENDAPATAN NET</t>
  </si>
  <si>
    <t>RINCIAN PEMBAYARAN :</t>
  </si>
  <si>
    <t>Transfer via bank Permata</t>
  </si>
  <si>
    <t>Tunai</t>
  </si>
  <si>
    <t>Cash</t>
  </si>
  <si>
    <t>Jakarta, 25 June 2026</t>
  </si>
  <si>
    <t>Dibuat oleh :</t>
  </si>
  <si>
    <t>Diperiksa oleh :</t>
  </si>
  <si>
    <t>Diketahui oleh :</t>
  </si>
  <si>
    <t>HR &amp; GA Manager</t>
  </si>
</sst>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_(* #,##0.00_);_(* \(#,##0.00\);_(* &quot;-&quot;??_);_(@_)"/>
    <numFmt numFmtId="166" formatCode="_ * #,##0_ ;_ * \-#,##0_ ;_ * &quot;-&quot;??_ ;_ @_ "/>
    <numFmt numFmtId="167" formatCode="_(* #,##0_);_(* \(#,##0\);_(* &quot;-&quot;_);_(@_)"/>
    <numFmt numFmtId="168" formatCode="_ &quot;Rp&quot;\ * #,##0_ ;_ &quot;Rp&quot;\ * \-#,##0_ ;_ &quot;Rp&quot;\ * &quot;-&quot;_ ;_ @_ "/>
    <numFmt numFmtId="169" formatCode="dd\-mmm\-yyyy"/>
    <numFmt numFmtId="170" formatCode="_ * #,##0.0_ ;_ * \-#,##0.0_ ;_ * &quot;-&quot;??_ ;_ @_ "/>
  </numFmts>
  <fonts count="31">
    <font>
      <b val="0"/>
      <i val="0"/>
      <strike val="0"/>
      <u val="none"/>
      <sz val="10"/>
      <color rgb="FF000000"/>
      <name val="Arial"/>
      <charset val="134"/>
    </font>
    <font>
      <b val="1"/>
      <i val="0"/>
      <strike val="0"/>
      <u val="none"/>
      <sz val="10"/>
      <color rgb="FF000000"/>
      <name val="Arial"/>
      <charset val="134"/>
    </font>
    <font>
      <b val="1"/>
      <i val="0"/>
      <strike val="0"/>
      <u val="none"/>
      <sz val="10"/>
      <color theme="1"/>
      <name val="Arial"/>
      <charset val="134"/>
    </font>
    <font>
      <b val="1"/>
      <i val="0"/>
      <strike val="0"/>
      <u val="single"/>
      <sz val="11"/>
      <color rgb="FF000000"/>
      <name val="Arial"/>
      <charset val="134"/>
    </font>
    <font>
      <b val="1"/>
      <i val="0"/>
      <strike val="0"/>
      <u val="none"/>
      <sz val="8"/>
      <color rgb="FF000000"/>
      <name val="Arial"/>
      <charset val="134"/>
    </font>
    <font>
      <b val="0"/>
      <i val="0"/>
      <strike val="0"/>
      <u val="none"/>
      <sz val="8"/>
      <color rgb="FF000000"/>
      <name val="Arial"/>
      <charset val="134"/>
    </font>
    <font>
      <b val="0"/>
      <i val="0"/>
      <strike val="0"/>
      <u val="none"/>
      <sz val="6"/>
      <color rgb="FF000000"/>
      <name val="Arial"/>
      <charset val="134"/>
    </font>
    <font>
      <b val="1"/>
      <i val="0"/>
      <strike val="0"/>
      <u val="single"/>
      <sz val="18"/>
      <color rgb="FF000000"/>
      <name val="Arial"/>
      <charset val="134"/>
    </font>
    <font>
      <b val="0"/>
      <i val="0"/>
      <strike val="0"/>
      <u val="none"/>
      <sz val="11"/>
      <color rgb="FF000000"/>
      <name val="Courier"/>
      <charset val="134"/>
    </font>
    <font>
      <b val="0"/>
      <i val="0"/>
      <strike val="0"/>
      <u val="none"/>
      <sz val="18"/>
      <color rgb="FF000000"/>
      <name val="Arial"/>
      <charset val="134"/>
    </font>
    <font>
      <b val="1"/>
      <i val="0"/>
      <strike val="0"/>
      <u val="none"/>
      <sz val="14"/>
      <color rgb="FF000000"/>
      <name val="Arial Unicode MS"/>
      <charset val="134"/>
    </font>
    <font>
      <b val="1"/>
      <i val="0"/>
      <strike val="0"/>
      <u val="none"/>
      <sz val="16"/>
      <color rgb="FF000000"/>
      <name val="Arial Unicode MS"/>
      <charset val="134"/>
    </font>
    <font>
      <b val="1"/>
      <i val="0"/>
      <strike val="0"/>
      <u val="none"/>
      <sz val="14"/>
      <color theme="0"/>
      <name val="Arial Unicode MS"/>
      <charset val="134"/>
    </font>
    <font>
      <b val="1"/>
      <i val="0"/>
      <strike val="0"/>
      <u val="none"/>
      <sz val="16"/>
      <color theme="0"/>
      <name val="Arial Unicode MS"/>
      <charset val="134"/>
    </font>
    <font>
      <b val="0"/>
      <i val="0"/>
      <strike val="0"/>
      <u val="none"/>
      <sz val="26"/>
      <color rgb="FFFF0000"/>
      <name val="Arial"/>
      <charset val="134"/>
    </font>
    <font>
      <b val="0"/>
      <i val="0"/>
      <strike val="0"/>
      <u val="none"/>
      <sz val="14"/>
      <color rgb="FF000000"/>
      <name val="Arial"/>
      <charset val="134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2"/>
      <color theme="1"/>
      <name val="Calibri"/>
      <scheme val="minor"/>
    </font>
    <font>
      <b val="0"/>
      <i val="0"/>
      <strike val="0"/>
      <u val="none"/>
      <sz val="12"/>
      <color rgb="FFFF0000"/>
      <name val="Calibri"/>
      <scheme val="minor"/>
    </font>
    <font>
      <b val="1"/>
      <i val="0"/>
      <strike val="0"/>
      <u val="none"/>
      <sz val="12"/>
      <color theme="1"/>
      <name val="Calibri"/>
      <scheme val="minor"/>
    </font>
    <font>
      <b val="1"/>
      <i val="0"/>
      <strike val="0"/>
      <u val="none"/>
      <sz val="12"/>
      <color rgb="FFFF0000"/>
      <name val="Calibri"/>
      <scheme val="minor"/>
    </font>
    <font>
      <b val="0"/>
      <i val="0"/>
      <strike val="0"/>
      <u val="none"/>
      <sz val="14"/>
      <color rgb="FF000000"/>
      <name val="Calibri"/>
      <scheme val="minor"/>
    </font>
    <font>
      <b val="1"/>
      <i val="1"/>
      <strike val="0"/>
      <u val="none"/>
      <sz val="14"/>
      <color rgb="FF000000"/>
      <name val="Calibri"/>
      <scheme val="minor"/>
    </font>
    <font>
      <b val="0"/>
      <i val="0"/>
      <strike val="0"/>
      <u val="none"/>
      <sz val="14"/>
      <color rgb="FFFF0000"/>
      <name val="Calibri"/>
      <scheme val="minor"/>
    </font>
    <font>
      <b val="1"/>
      <i val="0"/>
      <strike val="0"/>
      <u val="none"/>
      <sz val="14"/>
      <color rgb="FF000000"/>
      <name val="Calibri"/>
      <scheme val="minor"/>
    </font>
    <font>
      <b val="0"/>
      <i val="0"/>
      <strike val="0"/>
      <u val="none"/>
      <sz val="12"/>
      <color rgb="FF000000"/>
      <name val="Arial Unicode MS"/>
      <charset val="134"/>
    </font>
    <font>
      <b val="0"/>
      <i val="0"/>
      <strike val="0"/>
      <u val="none"/>
      <sz val="14"/>
      <color theme="1"/>
      <name val="Calibri"/>
      <scheme val="minor"/>
    </font>
    <font>
      <b val="0"/>
      <i val="0"/>
      <strike val="0"/>
      <u val="none"/>
      <sz val="12"/>
      <color rgb="FF000000"/>
      <name val="Segoe UI"/>
    </font>
    <font>
      <b val="0"/>
      <i val="0"/>
      <strike val="0"/>
      <u val="none"/>
      <sz val="9"/>
      <color rgb="FF495057"/>
      <name val="Segoe UI"/>
    </font>
    <font>
      <b val="1"/>
      <i val="0"/>
      <strike val="0"/>
      <u val="none"/>
      <sz val="12"/>
      <color rgb="FF000000"/>
      <name val="Arial"/>
      <charset val="134"/>
    </font>
  </fonts>
  <fills count="10">
    <fill>
      <patternFill patternType="none"/>
    </fill>
    <fill>
      <patternFill patternType="gray125"/>
    </fill>
    <fill>
      <patternFill patternType="solid">
        <fgColor rgb="FFD99694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BEFF4"/>
        <bgColor rgb="FFFFFFFF"/>
      </patternFill>
    </fill>
    <fill>
      <patternFill patternType="mediumGray">
        <bgColor rgb="FF4BACC6"/>
      </patternFill>
    </fill>
    <fill>
      <patternFill patternType="solid">
        <fgColor rgb="FFFDEADA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2DBDB"/>
        <bgColor rgb="FFFFFFFF"/>
      </patternFill>
    </fill>
    <fill>
      <patternFill patternType="solid">
        <fgColor rgb="FFEBF1DE"/>
        <bgColor rgb="FFFFFFFF"/>
      </patternFill>
    </fill>
  </fills>
  <borders count="4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mediumDashed">
        <color rgb="FF000000"/>
      </top>
      <bottom style="mediumDashed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/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1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2" applyFont="1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1" numFmtId="0" fillId="0" borderId="3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3" fillId="0" borderId="0" applyFont="0" applyNumberFormat="1" applyFill="0" applyBorder="0" applyAlignment="0"/>
    <xf xfId="0" fontId="0" numFmtId="164" fillId="0" borderId="0" applyFont="0" applyNumberFormat="1" applyFill="0" applyBorder="0" applyAlignment="0"/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0" numFmtId="0" fillId="0" borderId="13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4" numFmtId="0" fillId="0" borderId="5" applyFont="1" applyNumberFormat="0" applyFill="0" applyBorder="1" applyAlignment="0"/>
    <xf xfId="0" fontId="4" numFmtId="0" fillId="0" borderId="2" applyFont="1" applyNumberFormat="0" applyFill="0" applyBorder="1" applyAlignment="0"/>
    <xf xfId="0" fontId="4" numFmtId="0" fillId="0" borderId="0" applyFont="1" applyNumberFormat="0" applyFill="0" applyBorder="0" applyAlignment="0"/>
    <xf xfId="0" fontId="0" numFmtId="165" fillId="0" borderId="2" applyFont="0" applyNumberFormat="1" applyFill="0" applyBorder="1" applyAlignment="0"/>
    <xf xfId="0" fontId="0" numFmtId="0" fillId="0" borderId="14" applyFont="0" applyNumberFormat="0" applyFill="0" applyBorder="1" applyAlignment="0"/>
    <xf xfId="0" fontId="0" numFmtId="165" fillId="0" borderId="0" applyFont="0" applyNumberFormat="1" applyFill="0" applyBorder="0" applyAlignment="0"/>
    <xf xfId="0" fontId="0" numFmtId="0" fillId="0" borderId="15" applyFont="0" applyNumberFormat="0" applyFill="0" applyBorder="1" applyAlignment="0"/>
    <xf xfId="0" fontId="0" numFmtId="165" fillId="0" borderId="5" applyFont="0" applyNumberFormat="1" applyFill="0" applyBorder="1" applyAlignment="0"/>
    <xf xfId="0" fontId="0" numFmtId="0" fillId="0" borderId="16" applyFont="0" applyNumberFormat="0" applyFill="0" applyBorder="1" applyAlignment="0"/>
    <xf xfId="0" fontId="1" numFmtId="165" fillId="0" borderId="6" applyFont="1" applyNumberFormat="1" applyFill="0" applyBorder="1" applyAlignment="1">
      <alignment horizontal="center" vertical="center" textRotation="0" wrapText="false" shrinkToFit="false"/>
    </xf>
    <xf xfId="0" fontId="1" numFmtId="0" fillId="0" borderId="15" applyFont="1" applyNumberFormat="0" applyFill="0" applyBorder="1" applyAlignment="1">
      <alignment vertical="center" textRotation="0" wrapText="false" shrinkToFit="false"/>
    </xf>
    <xf xfId="0" fontId="0" numFmtId="166" fillId="0" borderId="0" applyFont="0" applyNumberFormat="1" applyFill="0" applyBorder="0" applyAlignment="0"/>
    <xf xfId="0" fontId="0" numFmtId="164" fillId="0" borderId="8" applyFont="0" applyNumberFormat="1" applyFill="0" applyBorder="1" applyAlignment="0"/>
    <xf xfId="0" fontId="1" numFmtId="164" fillId="0" borderId="8" applyFont="1" applyNumberFormat="1" applyFill="0" applyBorder="1" applyAlignment="0"/>
    <xf xfId="0" fontId="0" numFmtId="166" fillId="0" borderId="0" applyFont="0" applyNumberFormat="1" applyFill="0" applyBorder="0" applyAlignment="0"/>
    <xf xfId="0" fontId="1" numFmtId="164" fillId="0" borderId="17" applyFont="1" applyNumberFormat="1" applyFill="0" applyBorder="1" applyAlignment="0"/>
    <xf xfId="0" fontId="1" numFmtId="0" fillId="0" borderId="15" applyFont="1" applyNumberFormat="0" applyFill="0" applyBorder="1" applyAlignment="0"/>
    <xf xfId="0" fontId="1" numFmtId="166" fillId="0" borderId="0" applyFont="1" applyNumberFormat="1" applyFill="0" applyBorder="0" applyAlignment="0"/>
    <xf xfId="0" fontId="0" numFmtId="3" fillId="0" borderId="8" applyFont="0" applyNumberFormat="1" applyFill="0" applyBorder="1" applyAlignment="0"/>
    <xf xfId="0" fontId="0" numFmtId="164" fillId="0" borderId="0" applyFont="0" applyNumberFormat="1" applyFill="0" applyBorder="0" applyAlignment="0"/>
    <xf xfId="0" fontId="1" numFmtId="164" fillId="0" borderId="18" applyFont="1" applyNumberFormat="1" applyFill="0" applyBorder="1" applyAlignment="0"/>
    <xf xfId="0" fontId="0" numFmtId="3" fillId="0" borderId="0" applyFont="0" applyNumberFormat="1" applyFill="0" applyBorder="0" applyAlignment="0"/>
    <xf xfId="0" fontId="1" numFmtId="164" fillId="2" borderId="8" applyFont="1" applyNumberFormat="1" applyFill="1" applyBorder="1" applyAlignment="0"/>
    <xf xfId="0" fontId="6" numFmtId="0" fillId="0" borderId="15" applyFont="1" applyNumberFormat="0" applyFill="0" applyBorder="1" applyAlignment="0"/>
    <xf xfId="0" fontId="0" numFmtId="164" fillId="0" borderId="7" applyFont="0" applyNumberFormat="1" applyFill="0" applyBorder="1" applyAlignment="0"/>
    <xf xfId="0" fontId="1" numFmtId="164" fillId="0" borderId="7" applyFont="1" applyNumberFormat="1" applyFill="0" applyBorder="1" applyAlignment="0"/>
    <xf xfId="0" fontId="0" numFmtId="167" fillId="0" borderId="0" applyFont="0" applyNumberFormat="1" applyFill="0" applyBorder="0" applyAlignment="0"/>
    <xf xfId="0" fontId="0" numFmtId="164" fillId="0" borderId="0" applyFont="0" applyNumberFormat="1" applyFill="0" applyBorder="0" applyAlignment="0"/>
    <xf xfId="0" fontId="5" numFmtId="164" fillId="0" borderId="0" applyFont="1" applyNumberFormat="1" applyFill="0" applyBorder="0" applyAlignment="0"/>
    <xf xfId="0" fontId="0" numFmtId="164" fillId="0" borderId="5" applyFont="0" applyNumberFormat="1" applyFill="0" applyBorder="1" applyAlignment="0"/>
    <xf xfId="0" fontId="1" numFmtId="164" fillId="0" borderId="5" applyFont="1" applyNumberFormat="1" applyFill="0" applyBorder="1" applyAlignment="0"/>
    <xf xfId="0" fontId="0" numFmtId="167" fillId="0" borderId="0" applyFont="0" applyNumberFormat="1" applyFill="0" applyBorder="0" applyAlignment="0"/>
    <xf xfId="0" fontId="0" numFmtId="167" fillId="0" borderId="19" applyFont="0" applyNumberFormat="1" applyFill="0" applyBorder="1" applyAlignment="0"/>
    <xf xfId="0" fontId="0" numFmtId="165" fillId="0" borderId="0" applyFont="0" applyNumberFormat="1" applyFill="0" applyBorder="0" applyAlignment="0"/>
    <xf xfId="0" fontId="1" numFmtId="0" fillId="0" borderId="16" applyFont="1" applyNumberFormat="0" applyFill="0" applyBorder="1" applyAlignment="0"/>
    <xf xfId="0" fontId="0" numFmtId="0" fillId="0" borderId="20" applyFont="0" applyNumberFormat="0" applyFill="0" applyBorder="1" applyAlignment="0"/>
    <xf xfId="0" fontId="7" numFmtId="0" fillId="0" borderId="0" applyFont="1" applyNumberFormat="0" applyFill="0" applyBorder="0" applyAlignment="0"/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8" numFmtId="0" fillId="0" borderId="19" applyFont="1" applyNumberFormat="0" applyFill="0" applyBorder="1" applyAlignment="0"/>
    <xf xfId="0" fontId="10" numFmtId="0" fillId="0" borderId="0" applyFont="1" applyNumberFormat="0" applyFill="0" applyBorder="0" applyAlignment="0"/>
    <xf xfId="0" fontId="10" numFmtId="0" fillId="0" borderId="0" applyFont="1" applyNumberFormat="0" applyFill="0" applyBorder="0" applyAlignment="1">
      <alignment horizontal="left" vertical="bottom" textRotation="0" wrapText="false" shrinkToFit="false"/>
    </xf>
    <xf xfId="0" fontId="10" numFmtId="168" fillId="0" borderId="0" applyFont="1" applyNumberFormat="1" applyFill="0" applyBorder="0" applyAlignment="0"/>
    <xf xfId="0" fontId="10" numFmtId="168" fillId="0" borderId="0" applyFont="1" applyNumberFormat="1" applyFill="0" applyBorder="0" applyAlignment="1">
      <alignment horizontal="left" vertical="bottom" textRotation="0" wrapText="false" shrinkToFit="false"/>
    </xf>
    <xf xfId="0" fontId="10" numFmtId="167" fillId="0" borderId="0" applyFont="1" applyNumberFormat="1" applyFill="0" applyBorder="0" applyAlignment="0"/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167" fillId="0" borderId="0" applyFont="1" applyNumberFormat="1" applyFill="0" applyBorder="0" applyAlignment="0"/>
    <xf xfId="0" fontId="12" numFmtId="0" fillId="3" borderId="0" applyFont="1" applyNumberFormat="0" applyFill="1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0"/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13" numFmtId="167" fillId="0" borderId="0" applyFont="1" applyNumberFormat="1" applyFill="0" applyBorder="0" applyAlignment="0"/>
    <xf xfId="0" fontId="12" numFmtId="167" fillId="0" borderId="0" applyFont="1" applyNumberFormat="1" applyFill="0" applyBorder="0" applyAlignment="0"/>
    <xf xfId="0" fontId="10" numFmtId="1" fillId="0" borderId="0" applyFont="1" applyNumberFormat="1" applyFill="0" applyBorder="0" applyAlignment="1">
      <alignment horizontal="left" vertical="bottom" textRotation="0" wrapText="false" shrinkToFit="false"/>
    </xf>
    <xf xfId="0" fontId="8" numFmtId="0" fillId="0" borderId="0" applyFont="1" applyNumberFormat="0" applyFill="0" applyBorder="0" applyAlignment="1">
      <alignment horizontal="left" vertical="bottom" textRotation="0" wrapText="false" shrinkToFit="false"/>
    </xf>
    <xf xfId="0" fontId="8" numFmtId="167" fillId="0" borderId="0" applyFont="1" applyNumberFormat="1" applyFill="0" applyBorder="0" applyAlignment="0"/>
    <xf xfId="0" fontId="8" numFmtId="0" fillId="0" borderId="19" applyFont="1" applyNumberFormat="0" applyFill="0" applyBorder="1" applyAlignment="1">
      <alignment horizontal="left" vertical="bottom" textRotation="0" wrapText="false" shrinkToFit="false"/>
    </xf>
    <xf xfId="0" fontId="8" numFmtId="167" fillId="0" borderId="19" applyFont="1" applyNumberFormat="1" applyFill="0" applyBorder="1" applyAlignment="0"/>
    <xf xfId="0" fontId="14" numFmtId="0" fillId="0" borderId="0" applyFont="1" applyNumberFormat="0" applyFill="0" applyBorder="0" applyAlignment="1">
      <alignment vertical="center" textRotation="0" wrapText="true" shrinkToFit="false"/>
    </xf>
    <xf xfId="0" fontId="15" numFmtId="0" fillId="0" borderId="0" applyFont="1" applyNumberFormat="0" applyFill="0" applyBorder="0" applyAlignment="0"/>
    <xf xfId="0" fontId="8" numFmtId="168" fillId="0" borderId="0" applyFont="1" applyNumberFormat="1" applyFill="0" applyBorder="0" applyAlignment="0"/>
    <xf xfId="0" fontId="0" numFmtId="168" fillId="0" borderId="0" applyFont="0" applyNumberFormat="1" applyFill="0" applyBorder="0" applyAlignment="0"/>
    <xf xfId="0" fontId="11" numFmtId="0" fillId="0" borderId="0" applyFont="1" applyNumberFormat="0" applyFill="0" applyBorder="0" applyAlignment="0"/>
    <xf xfId="0" fontId="11" numFmtId="168" fillId="0" borderId="0" applyFont="1" applyNumberFormat="1" applyFill="0" applyBorder="0" applyAlignment="0"/>
    <xf xfId="0" fontId="0" numFmtId="167" fillId="0" borderId="20" applyFont="0" applyNumberFormat="1" applyFill="0" applyBorder="1" applyAlignment="0"/>
    <xf xfId="0" fontId="10" quotePrefix="1" numFmtId="0" fillId="0" borderId="0" applyFont="1" applyNumberFormat="0" applyFill="0" applyBorder="0" applyAlignment="0"/>
    <xf xfId="0" fontId="10" quotePrefix="1" numFmtId="0" fillId="0" borderId="0" applyFont="1" applyNumberFormat="0" applyFill="0" applyBorder="0" applyAlignment="1">
      <alignment horizontal="left" vertical="bottom" textRotation="0" wrapText="false" shrinkToFit="false"/>
    </xf>
    <xf xfId="0" fontId="16" numFmtId="0" fillId="0" borderId="0" applyFont="1" applyNumberFormat="0" applyFill="0" applyBorder="0" applyAlignment="1">
      <alignment vertical="center" textRotation="0" wrapText="false" shrinkToFit="false"/>
    </xf>
    <xf xfId="0" fontId="17" numFmtId="0" fillId="0" borderId="0" applyFont="1" applyNumberFormat="0" applyFill="0" applyBorder="0" applyAlignment="0"/>
    <xf xfId="0" fontId="18" numFmtId="0" fillId="0" borderId="0" applyFont="1" applyNumberFormat="0" applyFill="0" applyBorder="0" applyAlignment="0"/>
    <xf xfId="0" fontId="19" numFmtId="0" fillId="0" borderId="0" applyFont="1" applyNumberFormat="0" applyFill="0" applyBorder="0" applyAlignment="0"/>
    <xf xfId="0" fontId="20" numFmtId="0" fillId="0" borderId="0" applyFont="1" applyNumberFormat="0" applyFill="0" applyBorder="0" applyAlignment="1">
      <alignment horizontal="left" vertical="center" textRotation="0" wrapText="false" shrinkToFit="false"/>
    </xf>
    <xf xfId="0" fontId="17" numFmtId="0" fillId="4" borderId="0" applyFont="1" applyNumberFormat="0" applyFill="1" applyBorder="0" applyAlignment="0"/>
    <xf xfId="0" fontId="17" numFmtId="166" fillId="0" borderId="0" applyFont="1" applyNumberFormat="1" applyFill="0" applyBorder="0" applyAlignment="0"/>
    <xf xfId="0" fontId="17" numFmtId="0" fillId="0" borderId="0" applyFont="1" applyNumberFormat="0" applyFill="0" applyBorder="0" applyAlignment="1">
      <alignment horizontal="right" vertical="bottom" textRotation="0" wrapText="false" shrinkToFit="false"/>
    </xf>
    <xf xfId="0" fontId="18" numFmtId="0" fillId="0" borderId="0" applyFont="1" applyNumberFormat="0" applyFill="0" applyBorder="0" applyAlignment="1">
      <alignment horizontal="right" vertical="bottom" textRotation="0" wrapText="false" shrinkToFit="false"/>
    </xf>
    <xf xfId="0" fontId="19" numFmtId="0" fillId="0" borderId="0" applyFont="1" applyNumberFormat="0" applyFill="0" applyBorder="0" applyAlignment="1">
      <alignment horizontal="right" vertical="bottom" textRotation="0" wrapText="false" shrinkToFit="false"/>
    </xf>
    <xf xfId="0" fontId="16" quotePrefix="1" numFmtId="17" fillId="0" borderId="0" applyFont="1" applyNumberFormat="1" applyFill="0" applyBorder="0" applyAlignment="1">
      <alignment horizontal="left" vertical="bottom" textRotation="0" wrapText="false" shrinkToFit="false"/>
    </xf>
    <xf xfId="0" fontId="17" numFmtId="167" fillId="0" borderId="0" applyFont="1" applyNumberFormat="1" applyFill="0" applyBorder="0" applyAlignment="0"/>
    <xf xfId="0" fontId="17" numFmtId="167" fillId="4" borderId="0" applyFont="1" applyNumberFormat="1" applyFill="1" applyBorder="0" applyAlignment="0"/>
    <xf xfId="0" fontId="17" numFmtId="166" fillId="0" borderId="0" applyFont="1" applyNumberFormat="1" applyFill="0" applyBorder="0" applyAlignment="0"/>
    <xf xfId="0" fontId="16" quotePrefix="1" numFmtId="15" fillId="0" borderId="0" applyFont="1" applyNumberFormat="1" applyFill="0" applyBorder="0" applyAlignment="1">
      <alignment horizontal="left" vertical="bottom" textRotation="0" wrapText="false" shrinkToFit="false"/>
    </xf>
    <xf xfId="0" fontId="19" numFmtId="0" fillId="0" borderId="0" applyFont="1" applyNumberFormat="0" applyFill="0" applyBorder="0" applyAlignment="1">
      <alignment horizontal="center" vertical="bottom" textRotation="0" wrapText="false" shrinkToFit="false"/>
    </xf>
    <xf xfId="0" fontId="16" numFmtId="0" fillId="0" borderId="21" applyFont="1" applyNumberFormat="0" applyFill="0" applyBorder="1" applyAlignment="1">
      <alignment horizontal="center" vertical="center" textRotation="0" wrapText="true" shrinkToFit="false"/>
    </xf>
    <xf xfId="0" fontId="16" numFmtId="167" fillId="0" borderId="22" applyFont="1" applyNumberFormat="1" applyFill="0" applyBorder="1" applyAlignment="1">
      <alignment horizontal="center" vertical="center" textRotation="0" wrapText="true" shrinkToFit="false"/>
    </xf>
    <xf xfId="0" fontId="17" numFmtId="0" fillId="0" borderId="0" applyFont="1" applyNumberFormat="0" applyFill="0" applyBorder="0" applyAlignment="1">
      <alignment horizontal="center" vertical="center" textRotation="0" wrapText="true" shrinkToFit="false"/>
    </xf>
    <xf xfId="0" fontId="17" numFmtId="166" fillId="0" borderId="0" applyFont="1" applyNumberFormat="1" applyFill="0" applyBorder="0" applyAlignment="1">
      <alignment horizontal="center" vertical="center" textRotation="0" wrapText="true" shrinkToFit="false"/>
    </xf>
    <xf xfId="0" fontId="16" numFmtId="0" fillId="0" borderId="23" applyFont="1" applyNumberFormat="0" applyFill="0" applyBorder="1" applyAlignment="1">
      <alignment horizontal="center" vertical="center" textRotation="0" wrapText="true" shrinkToFit="false"/>
    </xf>
    <xf xfId="0" fontId="16" numFmtId="0" fillId="0" borderId="23" applyFont="1" applyNumberFormat="0" applyFill="0" applyBorder="1" applyAlignment="1">
      <alignment horizontal="center" vertical="center" textRotation="0" wrapText="true" shrinkToFit="false"/>
    </xf>
    <xf xfId="0" fontId="20" numFmtId="0" fillId="0" borderId="23" applyFont="1" applyNumberFormat="0" applyFill="0" applyBorder="1" applyAlignment="1">
      <alignment horizontal="center" vertical="center" textRotation="0" wrapText="true" shrinkToFit="false"/>
    </xf>
    <xf xfId="0" fontId="21" numFmtId="0" fillId="0" borderId="23" applyFont="1" applyNumberFormat="0" applyFill="0" applyBorder="1" applyAlignment="1">
      <alignment horizontal="center" vertical="center" textRotation="0" wrapText="true" shrinkToFit="false"/>
    </xf>
    <xf xfId="0" fontId="16" numFmtId="167" fillId="0" borderId="23" applyFont="1" applyNumberFormat="1" applyFill="0" applyBorder="1" applyAlignment="1">
      <alignment horizontal="center" vertical="center" textRotation="0" wrapText="true" shrinkToFit="false"/>
    </xf>
    <xf xfId="0" fontId="16" numFmtId="167" fillId="4" borderId="23" applyFont="1" applyNumberFormat="1" applyFill="1" applyBorder="1" applyAlignment="1">
      <alignment horizontal="center" vertical="center" textRotation="0" wrapText="true" shrinkToFit="false"/>
    </xf>
    <xf xfId="0" fontId="16" numFmtId="167" fillId="0" borderId="23" applyFont="1" applyNumberFormat="1" applyFill="0" applyBorder="1" applyAlignment="1">
      <alignment horizontal="center" vertical="center" textRotation="0" wrapText="true" shrinkToFit="false"/>
    </xf>
    <xf xfId="0" fontId="16" numFmtId="167" fillId="0" borderId="10" applyFont="1" applyNumberFormat="1" applyFill="0" applyBorder="1" applyAlignment="1">
      <alignment horizontal="center" vertical="center" textRotation="0" wrapText="true" shrinkToFit="false"/>
    </xf>
    <xf xfId="0" fontId="16" numFmtId="167" fillId="0" borderId="8" applyFont="1" applyNumberFormat="1" applyFill="0" applyBorder="1" applyAlignment="1">
      <alignment horizontal="center" vertical="center" textRotation="0" wrapText="true" shrinkToFit="false"/>
    </xf>
    <xf xfId="0" fontId="16" numFmtId="0" fillId="0" borderId="0" applyFont="1" applyNumberFormat="0" applyFill="0" applyBorder="0" applyAlignment="1">
      <alignment horizontal="center" vertical="center" textRotation="0" wrapText="false" shrinkToFit="false"/>
    </xf>
    <xf xfId="0" fontId="16" numFmtId="0" fillId="0" borderId="2" applyFont="1" applyNumberFormat="0" applyFill="0" applyBorder="1" applyAlignment="1">
      <alignment horizontal="center" vertical="center" textRotation="0" wrapText="false" shrinkToFit="false"/>
    </xf>
    <xf xfId="0" fontId="17" numFmtId="0" fillId="0" borderId="24" applyFont="1" applyNumberFormat="0" applyFill="0" applyBorder="1" applyAlignment="1">
      <alignment horizontal="center" vertical="bottom" textRotation="0" wrapText="false" shrinkToFit="false"/>
    </xf>
    <xf xfId="0" fontId="17" numFmtId="0" fillId="0" borderId="25" applyFont="1" applyNumberFormat="0" applyFill="0" applyBorder="1" applyAlignment="0"/>
    <xf xfId="0" fontId="17" numFmtId="0" fillId="0" borderId="25" applyFont="1" applyNumberFormat="0" applyFill="0" applyBorder="1" applyAlignment="1">
      <alignment horizontal="left" vertical="bottom" textRotation="0" wrapText="false" shrinkToFit="false"/>
    </xf>
    <xf xfId="0" fontId="17" numFmtId="3" fillId="5" borderId="25" applyFont="1" applyNumberFormat="1" applyFill="1" applyBorder="1" applyAlignment="1">
      <alignment horizontal="center" vertical="bottom" textRotation="0" wrapText="false" shrinkToFit="false"/>
    </xf>
    <xf xfId="0" fontId="17" numFmtId="3" fillId="5" borderId="25" applyFont="1" applyNumberFormat="1" applyFill="1" applyBorder="1" applyAlignment="1">
      <alignment horizontal="right" vertical="bottom" textRotation="0" wrapText="false" shrinkToFit="false"/>
    </xf>
    <xf xfId="0" fontId="19" numFmtId="166" fillId="5" borderId="25" applyFont="1" applyNumberFormat="1" applyFill="1" applyBorder="1" applyAlignment="0"/>
    <xf xfId="0" fontId="17" numFmtId="167" fillId="0" borderId="25" applyFont="1" applyNumberFormat="1" applyFill="0" applyBorder="1" applyAlignment="0"/>
    <xf xfId="0" fontId="17" numFmtId="167" fillId="4" borderId="25" applyFont="1" applyNumberFormat="1" applyFill="1" applyBorder="1" applyAlignment="0"/>
    <xf xfId="0" fontId="17" numFmtId="166" fillId="0" borderId="25" applyFont="1" applyNumberFormat="1" applyFill="0" applyBorder="1" applyAlignment="0"/>
    <xf xfId="0" fontId="17" numFmtId="167" fillId="0" borderId="25" applyFont="1" applyNumberFormat="1" applyFill="0" applyBorder="1" applyAlignment="0"/>
    <xf xfId="0" fontId="16" numFmtId="167" fillId="0" borderId="0" applyFont="1" applyNumberFormat="1" applyFill="0" applyBorder="0" applyAlignment="0"/>
    <xf xfId="0" fontId="17" numFmtId="167" fillId="0" borderId="0" applyFont="1" applyNumberFormat="1" applyFill="0" applyBorder="0" applyAlignment="0"/>
    <xf xfId="0" fontId="18" numFmtId="0" fillId="0" borderId="25" applyFont="1" applyNumberFormat="0" applyFill="0" applyBorder="1" applyAlignment="0"/>
    <xf xfId="0" fontId="17" numFmtId="169" fillId="0" borderId="25" applyFont="1" applyNumberFormat="1" applyFill="0" applyBorder="1" applyAlignment="1">
      <alignment horizontal="left" vertical="bottom" textRotation="0" wrapText="false" shrinkToFit="false"/>
    </xf>
    <xf xfId="0" fontId="18" numFmtId="3" fillId="0" borderId="25" applyFont="1" applyNumberFormat="1" applyFill="0" applyBorder="1" applyAlignment="1">
      <alignment horizontal="right" vertical="bottom" textRotation="0" wrapText="false" shrinkToFit="false"/>
    </xf>
    <xf xfId="0" fontId="17" numFmtId="3" fillId="0" borderId="25" applyFont="1" applyNumberFormat="1" applyFill="0" applyBorder="1" applyAlignment="1">
      <alignment horizontal="right" vertical="bottom" textRotation="0" wrapText="false" shrinkToFit="false"/>
    </xf>
    <xf xfId="0" fontId="19" numFmtId="166" fillId="0" borderId="25" applyFont="1" applyNumberFormat="1" applyFill="0" applyBorder="1" applyAlignment="0"/>
    <xf xfId="0" fontId="17" numFmtId="0" fillId="0" borderId="0" applyFont="1" applyNumberFormat="0" applyFill="0" applyBorder="0" applyAlignment="1">
      <alignment horizontal="left" vertical="bottom" textRotation="0" wrapText="false" shrinkToFit="false"/>
    </xf>
    <xf xfId="0" fontId="17" numFmtId="0" fillId="0" borderId="0" applyFont="1" applyNumberFormat="0" applyFill="0" applyBorder="0" applyAlignment="1">
      <alignment horizontal="center" vertical="bottom" textRotation="0" wrapText="false" shrinkToFit="false"/>
    </xf>
    <xf xfId="0" fontId="17" numFmtId="169" fillId="0" borderId="0" applyFont="1" applyNumberFormat="1" applyFill="0" applyBorder="0" applyAlignment="1">
      <alignment horizontal="center" vertical="bottom" textRotation="0" wrapText="false" shrinkToFit="false"/>
    </xf>
    <xf xfId="0" fontId="17" numFmtId="167" fillId="0" borderId="0" applyFont="1" applyNumberFormat="1" applyFill="0" applyBorder="0" applyAlignment="0"/>
    <xf xfId="0" fontId="19" numFmtId="166" fillId="0" borderId="0" applyFont="1" applyNumberFormat="1" applyFill="0" applyBorder="0" applyAlignment="0"/>
    <xf xfId="0" fontId="19" numFmtId="167" fillId="0" borderId="0" applyFont="1" applyNumberFormat="1" applyFill="0" applyBorder="0" applyAlignment="0"/>
    <xf xfId="0" fontId="16" numFmtId="167" fillId="0" borderId="0" applyFont="1" applyNumberFormat="1" applyFill="0" applyBorder="0" applyAlignment="0"/>
    <xf xfId="0" fontId="17" numFmtId="167" fillId="4" borderId="0" applyFont="1" applyNumberFormat="1" applyFill="1" applyBorder="0" applyAlignment="0"/>
    <xf xfId="0" fontId="16" numFmtId="167" fillId="4" borderId="0" applyFont="1" applyNumberFormat="1" applyFill="1" applyBorder="0" applyAlignment="0"/>
    <xf xfId="0" fontId="18" numFmtId="166" fillId="0" borderId="0" applyFont="1" applyNumberFormat="1" applyFill="0" applyBorder="0" applyAlignment="0"/>
    <xf xfId="0" fontId="22" numFmtId="0" fillId="6" borderId="24" applyFont="1" applyNumberFormat="0" applyFill="1" applyBorder="1" applyAlignment="1">
      <alignment horizontal="center" vertical="bottom" textRotation="0" wrapText="false" shrinkToFit="false"/>
    </xf>
    <xf xfId="0" fontId="23" numFmtId="0" fillId="6" borderId="25" applyFont="1" applyNumberFormat="0" applyFill="1" applyBorder="1" applyAlignment="0"/>
    <xf xfId="0" fontId="22" numFmtId="0" fillId="6" borderId="25" applyFont="1" applyNumberFormat="0" applyFill="1" applyBorder="1" applyAlignment="0"/>
    <xf xfId="0" fontId="22" numFmtId="0" fillId="6" borderId="25" applyFont="1" applyNumberFormat="0" applyFill="1" applyBorder="1" applyAlignment="1">
      <alignment horizontal="left" vertical="bottom" textRotation="0" wrapText="false" shrinkToFit="false"/>
    </xf>
    <xf xfId="0" fontId="22" numFmtId="169" fillId="6" borderId="25" applyFont="1" applyNumberFormat="1" applyFill="1" applyBorder="1" applyAlignment="1">
      <alignment horizontal="left" vertical="bottom" textRotation="0" wrapText="false" shrinkToFit="false"/>
    </xf>
    <xf xfId="0" fontId="22" numFmtId="0" fillId="6" borderId="0" applyFont="1" applyNumberFormat="0" applyFill="1" applyBorder="0" applyAlignment="0"/>
    <xf xfId="0" fontId="22" numFmtId="3" fillId="6" borderId="25" applyFont="1" applyNumberFormat="1" applyFill="1" applyBorder="1" applyAlignment="1">
      <alignment horizontal="right" vertical="bottom" textRotation="0" wrapText="false" shrinkToFit="false"/>
    </xf>
    <xf xfId="0" fontId="22" numFmtId="166" fillId="6" borderId="25" applyFont="1" applyNumberFormat="1" applyFill="1" applyBorder="1" applyAlignment="0"/>
    <xf xfId="0" fontId="24" numFmtId="166" fillId="6" borderId="25" applyFont="1" applyNumberFormat="1" applyFill="1" applyBorder="1" applyAlignment="0"/>
    <xf xfId="0" fontId="17" numFmtId="166" fillId="0" borderId="25" applyFont="1" applyNumberFormat="1" applyFill="0" applyBorder="1" applyAlignment="1">
      <alignment horizontal="center" vertical="bottom" textRotation="0" wrapText="false" shrinkToFit="false"/>
    </xf>
    <xf xfId="0" fontId="17" numFmtId="167" fillId="7" borderId="25" applyFont="1" applyNumberFormat="1" applyFill="1" applyBorder="1" applyAlignment="0"/>
    <xf xfId="0" fontId="19" numFmtId="3" fillId="5" borderId="25" applyFont="1" applyNumberFormat="1" applyFill="1" applyBorder="1" applyAlignment="1">
      <alignment horizontal="right" vertical="bottom" textRotation="0" wrapText="false" shrinkToFit="false"/>
    </xf>
    <xf xfId="0" fontId="17" numFmtId="167" fillId="4" borderId="25" applyFont="1" applyNumberFormat="1" applyFill="1" applyBorder="1" applyAlignment="0"/>
    <xf xfId="0" fontId="17" numFmtId="0" fillId="4" borderId="25" applyFont="1" applyNumberFormat="0" applyFill="1" applyBorder="1" applyAlignment="1">
      <alignment horizontal="center" vertical="bottom" textRotation="0" wrapText="false" shrinkToFit="false"/>
    </xf>
    <xf xfId="0" fontId="17" numFmtId="0" fillId="4" borderId="25" applyFont="1" applyNumberFormat="0" applyFill="1" applyBorder="1" applyAlignment="1">
      <alignment horizontal="center" vertical="center" textRotation="0" wrapText="false" shrinkToFit="false"/>
    </xf>
    <xf xfId="0" fontId="18" numFmtId="0" fillId="4" borderId="25" applyFont="1" applyNumberFormat="0" applyFill="1" applyBorder="1" applyAlignment="1">
      <alignment horizontal="center" vertical="bottom" textRotation="0" wrapText="false" shrinkToFit="false"/>
    </xf>
    <xf xfId="0" fontId="18" numFmtId="167" fillId="4" borderId="25" applyFont="1" applyNumberFormat="1" applyFill="1" applyBorder="1" applyAlignment="1">
      <alignment horizontal="center" vertical="bottom" textRotation="0" wrapText="false" shrinkToFit="false"/>
    </xf>
    <xf xfId="0" fontId="19" numFmtId="3" fillId="0" borderId="25" applyFont="1" applyNumberFormat="1" applyFill="0" applyBorder="1" applyAlignment="1">
      <alignment horizontal="right" vertical="bottom" textRotation="0" wrapText="false" shrinkToFit="false"/>
    </xf>
    <xf xfId="0" fontId="22" numFmtId="0" fillId="6" borderId="25" applyFont="1" applyNumberFormat="0" applyFill="1" applyBorder="1" applyAlignment="1">
      <alignment horizontal="center" vertical="bottom" textRotation="0" wrapText="false" shrinkToFit="false"/>
    </xf>
    <xf xfId="0" fontId="22" numFmtId="0" fillId="6" borderId="25" applyFont="1" applyNumberFormat="0" applyFill="1" applyBorder="1" applyAlignment="1">
      <alignment vertical="center" textRotation="0" wrapText="false" shrinkToFit="false"/>
    </xf>
    <xf xfId="0" fontId="22" numFmtId="167" fillId="6" borderId="25" applyFont="1" applyNumberFormat="1" applyFill="1" applyBorder="1" applyAlignment="0"/>
    <xf xfId="0" fontId="24" numFmtId="3" fillId="6" borderId="25" applyFont="1" applyNumberFormat="1" applyFill="1" applyBorder="1" applyAlignment="1">
      <alignment horizontal="right" vertical="bottom" textRotation="0" wrapText="false" shrinkToFit="false"/>
    </xf>
    <xf xfId="0" fontId="17" numFmtId="0" fillId="5" borderId="25" applyFont="1" applyNumberFormat="0" applyFill="1" applyBorder="1" applyAlignment="1">
      <alignment horizontal="center" vertical="bottom" textRotation="0" wrapText="false" shrinkToFit="false"/>
    </xf>
    <xf xfId="0" fontId="16" numFmtId="167" fillId="4" borderId="23" applyFont="1" applyNumberFormat="1" applyFill="1" applyBorder="1" applyAlignment="1">
      <alignment horizontal="center" vertical="center" textRotation="0" wrapText="true" shrinkToFit="false"/>
    </xf>
    <xf xfId="0" fontId="16" numFmtId="0" fillId="0" borderId="26" applyFont="1" applyNumberFormat="0" applyFill="0" applyBorder="1" applyAlignment="1">
      <alignment horizontal="center" vertical="center" textRotation="0" wrapText="false" shrinkToFit="false"/>
    </xf>
    <xf xfId="0" fontId="20" numFmtId="0" fillId="0" borderId="26" applyFont="1" applyNumberFormat="0" applyFill="0" applyBorder="1" applyAlignment="1">
      <alignment horizontal="center" vertical="center" textRotation="0" wrapText="false" shrinkToFit="false"/>
    </xf>
    <xf xfId="0" fontId="16" numFmtId="0" fillId="4" borderId="26" applyFont="1" applyNumberFormat="0" applyFill="1" applyBorder="1" applyAlignment="1">
      <alignment horizontal="center" vertical="center" textRotation="0" wrapText="false" shrinkToFit="false"/>
    </xf>
    <xf xfId="0" fontId="16" numFmtId="10" fillId="0" borderId="26" applyFont="1" applyNumberFormat="1" applyFill="0" applyBorder="1" applyAlignment="1">
      <alignment horizontal="center" vertical="center" textRotation="0" wrapText="false" shrinkToFit="false"/>
    </xf>
    <xf xfId="0" fontId="16" numFmtId="9" fillId="0" borderId="26" applyFont="1" applyNumberFormat="1" applyFill="0" applyBorder="1" applyAlignment="1">
      <alignment horizontal="center" vertical="center" textRotation="0" wrapText="false" shrinkToFit="false"/>
    </xf>
    <xf xfId="0" fontId="16" numFmtId="9" fillId="4" borderId="26" applyFont="1" applyNumberFormat="1" applyFill="1" applyBorder="1" applyAlignment="1">
      <alignment horizontal="center" vertical="center" textRotation="0" wrapText="false" shrinkToFit="false"/>
    </xf>
    <xf xfId="0" fontId="16" numFmtId="167" fillId="4" borderId="21" applyFont="1" applyNumberFormat="1" applyFill="1" applyBorder="1" applyAlignment="1">
      <alignment horizontal="center" vertical="center" textRotation="0" wrapText="true" shrinkToFit="false"/>
    </xf>
    <xf xfId="0" fontId="16" numFmtId="0" fillId="0" borderId="27" applyFont="1" applyNumberFormat="0" applyFill="0" applyBorder="1" applyAlignment="1">
      <alignment horizontal="center" vertical="center" textRotation="0" wrapText="false" shrinkToFit="false"/>
    </xf>
    <xf xfId="0" fontId="22" numFmtId="169" fillId="6" borderId="28" applyFont="1" applyNumberFormat="1" applyFill="1" applyBorder="1" applyAlignment="1">
      <alignment horizontal="left" vertical="center" textRotation="0" wrapText="false" shrinkToFit="false"/>
    </xf>
    <xf xfId="0" fontId="25" numFmtId="0" fillId="6" borderId="29" applyFont="1" applyNumberFormat="0" applyFill="1" applyBorder="1" applyAlignment="1">
      <alignment horizontal="center" vertical="center" textRotation="0" wrapText="false" shrinkToFit="false"/>
    </xf>
    <xf xfId="0" fontId="22" numFmtId="169" fillId="6" borderId="29" applyFont="1" applyNumberFormat="1" applyFill="1" applyBorder="1" applyAlignment="1">
      <alignment horizontal="left" vertical="center" textRotation="0" wrapText="false" shrinkToFit="false"/>
    </xf>
    <xf xfId="0" fontId="22" numFmtId="0" fillId="6" borderId="29" applyFont="1" applyNumberFormat="0" applyFill="1" applyBorder="1" applyAlignment="1">
      <alignment horizontal="left" vertical="center" textRotation="0" wrapText="false" shrinkToFit="false"/>
    </xf>
    <xf xfId="0" fontId="25" numFmtId="3" fillId="6" borderId="29" applyFont="1" applyNumberFormat="1" applyFill="1" applyBorder="1" applyAlignment="1">
      <alignment horizontal="right" vertical="center" textRotation="0" wrapText="false" shrinkToFit="false"/>
    </xf>
    <xf xfId="0" fontId="25" numFmtId="0" fillId="6" borderId="30" applyFont="1" applyNumberFormat="0" applyFill="1" applyBorder="1" applyAlignment="1">
      <alignment horizontal="center" vertical="bottom" textRotation="0" wrapText="false" shrinkToFit="false"/>
    </xf>
    <xf xfId="0" fontId="23" numFmtId="0" fillId="6" borderId="23" applyFont="1" applyNumberFormat="0" applyFill="1" applyBorder="1" applyAlignment="0"/>
    <xf xfId="0" fontId="22" numFmtId="0" fillId="6" borderId="23" applyFont="1" applyNumberFormat="0" applyFill="1" applyBorder="1" applyAlignment="0"/>
    <xf xfId="0" fontId="22" numFmtId="169" fillId="6" borderId="23" applyFont="1" applyNumberFormat="1" applyFill="1" applyBorder="1" applyAlignment="1">
      <alignment horizontal="left" vertical="bottom" textRotation="0" wrapText="false" shrinkToFit="false"/>
    </xf>
    <xf xfId="0" fontId="22" numFmtId="0" fillId="6" borderId="23" applyFont="1" applyNumberFormat="0" applyFill="1" applyBorder="1" applyAlignment="1">
      <alignment horizontal="left" vertical="bottom" textRotation="0" wrapText="false" shrinkToFit="false"/>
    </xf>
    <xf xfId="0" fontId="25" numFmtId="0" fillId="6" borderId="23" applyFont="1" applyNumberFormat="0" applyFill="1" applyBorder="1" applyAlignment="1">
      <alignment horizontal="center" vertical="bottom" textRotation="0" wrapText="false" shrinkToFit="false"/>
    </xf>
    <xf xfId="0" fontId="22" numFmtId="3" fillId="6" borderId="23" applyFont="1" applyNumberFormat="1" applyFill="1" applyBorder="1" applyAlignment="1">
      <alignment horizontal="right" vertical="bottom" textRotation="0" wrapText="false" shrinkToFit="false"/>
    </xf>
    <xf xfId="0" fontId="22" numFmtId="166" fillId="6" borderId="23" applyFont="1" applyNumberFormat="1" applyFill="1" applyBorder="1" applyAlignment="0"/>
    <xf xfId="0" fontId="24" numFmtId="166" fillId="6" borderId="23" applyFont="1" applyNumberFormat="1" applyFill="1" applyBorder="1" applyAlignment="0"/>
    <xf xfId="0" fontId="24" numFmtId="3" fillId="6" borderId="23" applyFont="1" applyNumberFormat="1" applyFill="1" applyBorder="1" applyAlignment="1">
      <alignment horizontal="right" vertical="bottom" textRotation="0" wrapText="false" shrinkToFit="false"/>
    </xf>
    <xf xfId="0" fontId="18" numFmtId="0" fillId="4" borderId="0" applyFont="1" applyNumberFormat="0" applyFill="1" applyBorder="0" applyAlignment="0"/>
    <xf xfId="0" fontId="17" numFmtId="166" fillId="4" borderId="0" applyFont="1" applyNumberFormat="1" applyFill="1" applyBorder="0" applyAlignment="0"/>
    <xf xfId="0" fontId="18" numFmtId="167" fillId="4" borderId="0" applyFont="1" applyNumberFormat="1" applyFill="1" applyBorder="0" applyAlignment="0"/>
    <xf xfId="0" fontId="17" numFmtId="166" fillId="4" borderId="0" applyFont="1" applyNumberFormat="1" applyFill="1" applyBorder="0" applyAlignment="0"/>
    <xf xfId="0" fontId="16" numFmtId="166" fillId="4" borderId="0" applyFont="1" applyNumberFormat="1" applyFill="1" applyBorder="0" applyAlignment="1">
      <alignment horizontal="center" vertical="bottom" textRotation="0" wrapText="false" shrinkToFit="false"/>
    </xf>
    <xf xfId="0" fontId="16" numFmtId="166" fillId="4" borderId="31" applyFont="1" applyNumberFormat="1" applyFill="1" applyBorder="1" applyAlignment="1">
      <alignment horizontal="center" vertical="center" textRotation="0" wrapText="true" shrinkToFit="false"/>
    </xf>
    <xf xfId="0" fontId="20" numFmtId="167" fillId="4" borderId="23" applyFont="1" applyNumberFormat="1" applyFill="1" applyBorder="1" applyAlignment="1">
      <alignment horizontal="center" vertical="center" textRotation="0" wrapText="true" shrinkToFit="false"/>
    </xf>
    <xf xfId="0" fontId="16" numFmtId="166" fillId="4" borderId="32" applyFont="1" applyNumberFormat="1" applyFill="1" applyBorder="1" applyAlignment="1">
      <alignment horizontal="center" vertical="center" textRotation="0" wrapText="true" shrinkToFit="false"/>
    </xf>
    <xf xfId="0" fontId="20" numFmtId="0" fillId="4" borderId="26" applyFont="1" applyNumberFormat="0" applyFill="1" applyBorder="1" applyAlignment="1">
      <alignment horizontal="center" vertical="center" textRotation="0" wrapText="false" shrinkToFit="false"/>
    </xf>
    <xf xfId="0" fontId="16" numFmtId="10" fillId="4" borderId="26" applyFont="1" applyNumberFormat="1" applyFill="1" applyBorder="1" applyAlignment="1">
      <alignment horizontal="center" vertical="center" textRotation="0" wrapText="false" shrinkToFit="false"/>
    </xf>
    <xf xfId="0" fontId="16" numFmtId="166" fillId="4" borderId="33" applyFont="1" applyNumberFormat="1" applyFill="1" applyBorder="1" applyAlignment="1">
      <alignment horizontal="center" vertical="center" textRotation="0" wrapText="false" shrinkToFit="false"/>
    </xf>
    <xf xfId="0" fontId="18" numFmtId="167" fillId="4" borderId="25" applyFont="1" applyNumberFormat="1" applyFill="1" applyBorder="1" applyAlignment="0"/>
    <xf xfId="0" fontId="17" numFmtId="166" fillId="4" borderId="25" applyFont="1" applyNumberFormat="1" applyFill="1" applyBorder="1" applyAlignment="0"/>
    <xf xfId="0" fontId="17" numFmtId="166" fillId="4" borderId="34" applyFont="1" applyNumberFormat="1" applyFill="1" applyBorder="1" applyAlignment="0"/>
    <xf xfId="0" fontId="18" numFmtId="167" fillId="4" borderId="0" applyFont="1" applyNumberFormat="1" applyFill="1" applyBorder="0" applyAlignment="0"/>
    <xf xfId="0" fontId="16" numFmtId="167" fillId="4" borderId="0" applyFont="1" applyNumberFormat="1" applyFill="1" applyBorder="0" applyAlignment="0"/>
    <xf xfId="0" fontId="16" numFmtId="166" fillId="4" borderId="0" applyFont="1" applyNumberFormat="1" applyFill="1" applyBorder="0" applyAlignment="0"/>
    <xf xfId="0" fontId="26" numFmtId="0" fillId="0" borderId="0" applyFont="1" applyNumberFormat="0" applyFill="0" applyBorder="0" applyAlignment="1">
      <alignment horizontal="center" vertical="bottom" textRotation="0" wrapText="false" shrinkToFit="false"/>
    </xf>
    <xf xfId="0" fontId="26" numFmtId="0" fillId="0" borderId="0" applyFont="1" applyNumberFormat="0" applyFill="0" applyBorder="0" applyAlignment="0"/>
    <xf xfId="0" fontId="26" numFmtId="170" fillId="0" borderId="0" applyFont="1" applyNumberFormat="1" applyFill="0" applyBorder="0" applyAlignment="0"/>
    <xf xfId="0" fontId="26" numFmtId="166" fillId="0" borderId="0" applyFont="1" applyNumberFormat="1" applyFill="0" applyBorder="0" applyAlignment="0"/>
    <xf xfId="0" fontId="26" numFmtId="167" fillId="0" borderId="0" applyFont="1" applyNumberFormat="1" applyFill="0" applyBorder="0" applyAlignment="0"/>
    <xf xfId="0" fontId="17" numFmtId="166" fillId="0" borderId="0" applyFont="1" applyNumberFormat="1" applyFill="0" applyBorder="0" applyAlignment="0"/>
    <xf xfId="0" fontId="0" numFmtId="164" fillId="0" borderId="0" applyFont="0" applyNumberFormat="1" applyFill="0" applyBorder="0" applyAlignment="0"/>
    <xf xfId="0" fontId="16" numFmtId="166" fillId="4" borderId="0" applyFont="1" applyNumberFormat="1" applyFill="1" applyBorder="0" applyAlignment="1">
      <alignment horizontal="center" vertical="bottom" textRotation="0" wrapText="false" shrinkToFit="false"/>
    </xf>
    <xf xfId="0" fontId="10" numFmtId="1" fillId="0" borderId="0" applyFont="1" applyNumberFormat="1" applyFill="0" applyBorder="0" applyAlignment="0"/>
    <xf xfId="0" fontId="17" numFmtId="0" fillId="8" borderId="0" applyFont="1" applyNumberFormat="0" applyFill="1" applyBorder="0" applyAlignment="0"/>
    <xf xfId="0" fontId="19" numFmtId="166" fillId="0" borderId="0" applyFont="1" applyNumberFormat="1" applyFill="0" applyBorder="0" applyAlignment="1">
      <alignment horizontal="center" vertical="bottom" textRotation="0" wrapText="false" shrinkToFit="false"/>
    </xf>
    <xf xfId="0" fontId="16" numFmtId="166" fillId="0" borderId="22" applyFont="1" applyNumberFormat="1" applyFill="0" applyBorder="1" applyAlignment="1">
      <alignment horizontal="center" vertical="center" textRotation="0" wrapText="true" shrinkToFit="false"/>
    </xf>
    <xf xfId="0" fontId="16" numFmtId="166" fillId="0" borderId="8" applyFont="1" applyNumberFormat="1" applyFill="0" applyBorder="1" applyAlignment="1">
      <alignment horizontal="center" vertical="center" textRotation="0" wrapText="true" shrinkToFit="false"/>
    </xf>
    <xf xfId="0" fontId="16" numFmtId="166" fillId="0" borderId="2" applyFont="1" applyNumberFormat="1" applyFill="0" applyBorder="1" applyAlignment="1">
      <alignment horizontal="center" vertical="center" textRotation="0" wrapText="false" shrinkToFit="false"/>
    </xf>
    <xf xfId="0" fontId="27" numFmtId="167" fillId="6" borderId="35" applyFont="1" applyNumberFormat="1" applyFill="1" applyBorder="1" applyAlignment="0"/>
    <xf xfId="0" fontId="27" numFmtId="167" fillId="6" borderId="25" applyFont="1" applyNumberFormat="1" applyFill="1" applyBorder="1" applyAlignment="0"/>
    <xf xfId="0" fontId="28" numFmtId="166" fillId="9" borderId="25" applyFont="1" applyNumberFormat="1" applyFill="1" applyBorder="1" applyAlignment="0"/>
    <xf xfId="0" fontId="17" numFmtId="3" fillId="4" borderId="0" applyFont="1" applyNumberFormat="1" applyFill="1" applyBorder="0" applyAlignment="0"/>
    <xf xfId="0" fontId="17" numFmtId="0" fillId="0" borderId="0" applyFont="1" applyNumberFormat="0" applyFill="0" applyBorder="0" applyAlignment="0"/>
    <xf xfId="0" fontId="16" numFmtId="0" fillId="0" borderId="0" applyFont="1" applyNumberFormat="0" applyFill="0" applyBorder="0" applyAlignment="0"/>
    <xf xfId="0" fontId="16" numFmtId="166" fillId="0" borderId="0" applyFont="1" applyNumberFormat="1" applyFill="0" applyBorder="0" applyAlignment="0"/>
    <xf xfId="0" fontId="17" numFmtId="3" fillId="0" borderId="0" applyFont="1" applyNumberFormat="1" applyFill="0" applyBorder="0" applyAlignment="0"/>
    <xf xfId="0" fontId="16" numFmtId="166" fillId="0" borderId="0" applyFont="1" applyNumberFormat="1" applyFill="0" applyBorder="0" applyAlignment="1">
      <alignment horizontal="center" vertical="bottom" textRotation="0" wrapText="false" shrinkToFit="false"/>
    </xf>
    <xf xfId="0" fontId="16" numFmtId="0" fillId="0" borderId="0" applyFont="1" applyNumberFormat="0" applyFill="0" applyBorder="0" applyAlignment="1">
      <alignment horizontal="center" vertical="bottom" textRotation="0" wrapText="false" shrinkToFit="false"/>
    </xf>
    <xf xfId="0" fontId="17" numFmtId="167" fillId="0" borderId="0" applyFont="1" applyNumberFormat="1" applyFill="0" applyBorder="0" applyAlignment="0"/>
    <xf xfId="0" fontId="17" numFmtId="166" fillId="0" borderId="0" applyFont="1" applyNumberFormat="1" applyFill="0" applyBorder="0" applyAlignment="0"/>
    <xf xfId="0" fontId="17" numFmtId="0" fillId="0" borderId="0" applyFont="1" applyNumberFormat="0" applyFill="0" applyBorder="0" applyAlignment="0"/>
    <xf xfId="0" fontId="18" numFmtId="0" fillId="0" borderId="0" applyFont="1" applyNumberFormat="0" applyFill="0" applyBorder="0" applyAlignment="0"/>
    <xf xfId="0" fontId="19" numFmtId="0" fillId="0" borderId="0" applyFont="1" applyNumberFormat="0" applyFill="0" applyBorder="0" applyAlignment="0"/>
    <xf xfId="0" fontId="17" numFmtId="0" fillId="0" borderId="0" applyFont="1" applyNumberFormat="0" applyFill="0" applyBorder="0" applyAlignment="1">
      <alignment horizontal="center" vertical="bottom" textRotation="0" wrapText="false" shrinkToFit="false"/>
    </xf>
    <xf xfId="0" fontId="17" numFmtId="169" fillId="0" borderId="0" applyFont="1" applyNumberFormat="1" applyFill="0" applyBorder="0" applyAlignment="1">
      <alignment horizontal="left" vertical="bottom" textRotation="0" wrapText="false" shrinkToFit="false"/>
    </xf>
    <xf xfId="0" fontId="17" numFmtId="0" fillId="0" borderId="0" applyFont="1" applyNumberFormat="0" applyFill="0" applyBorder="0" applyAlignment="1">
      <alignment horizontal="left" vertical="bottom" textRotation="0" wrapText="false" shrinkToFit="false"/>
    </xf>
    <xf xfId="0" fontId="17" numFmtId="0" fillId="0" borderId="0" applyFont="1" applyNumberFormat="0" applyFill="0" applyBorder="0" applyAlignment="1">
      <alignment horizontal="center" vertical="center" textRotation="0" wrapText="false" shrinkToFit="false"/>
    </xf>
    <xf xfId="0" fontId="18" numFmtId="0" fillId="0" borderId="0" applyFont="1" applyNumberFormat="0" applyFill="0" applyBorder="0" applyAlignment="1">
      <alignment horizontal="center" vertical="bottom" textRotation="0" wrapText="false" shrinkToFit="false"/>
    </xf>
    <xf xfId="0" fontId="17" numFmtId="3" fillId="0" borderId="0" applyFont="1" applyNumberFormat="1" applyFill="0" applyBorder="0" applyAlignment="1">
      <alignment horizontal="right" vertical="bottom" textRotation="0" wrapText="false" shrinkToFit="false"/>
    </xf>
    <xf xfId="0" fontId="18" numFmtId="167" fillId="0" borderId="0" applyFont="1" applyNumberFormat="1" applyFill="0" applyBorder="0" applyAlignment="1">
      <alignment horizontal="center" vertical="bottom" textRotation="0" wrapText="false" shrinkToFit="false"/>
    </xf>
    <xf xfId="0" fontId="19" numFmtId="3" fillId="0" borderId="0" applyFont="1" applyNumberFormat="1" applyFill="0" applyBorder="0" applyAlignment="1">
      <alignment horizontal="right" vertical="bottom" textRotation="0" wrapText="false" shrinkToFit="false"/>
    </xf>
    <xf xfId="0" fontId="18" numFmtId="167" fillId="0" borderId="0" applyFont="1" applyNumberFormat="1" applyFill="0" applyBorder="0" applyAlignment="0"/>
    <xf xfId="0" fontId="17" numFmtId="166" fillId="0" borderId="0" applyFont="1" applyNumberFormat="1" applyFill="0" applyBorder="0" applyAlignment="0"/>
    <xf xfId="0" fontId="28" numFmtId="166" fillId="0" borderId="0" applyFont="1" applyNumberFormat="1" applyFill="0" applyBorder="0" applyAlignment="0"/>
    <xf xfId="0" fontId="17" numFmtId="0" fillId="0" borderId="0" applyFont="1" applyNumberFormat="0" applyFill="0" applyBorder="0" applyAlignment="0"/>
    <xf xfId="0" fontId="17" numFmtId="166" fillId="0" borderId="0" applyFont="1" applyNumberFormat="1" applyFill="0" applyBorder="0" applyAlignment="0"/>
    <xf xfId="0" fontId="17" numFmtId="167" fillId="0" borderId="0" applyFont="1" applyNumberFormat="1" applyFill="0" applyBorder="0" applyAlignment="0"/>
    <xf xfId="0" fontId="18" numFmtId="166" fillId="0" borderId="0" applyFont="1" applyNumberFormat="1" applyFill="0" applyBorder="0" applyAlignment="0"/>
    <xf xfId="0" fontId="17" numFmtId="166" fillId="0" borderId="0" applyFont="1" applyNumberFormat="1" applyFill="0" applyBorder="0" applyAlignment="1">
      <alignment horizontal="center" vertical="bottom" textRotation="0" wrapText="false" shrinkToFit="false"/>
    </xf>
    <xf xfId="0" fontId="17" numFmtId="167" fillId="0" borderId="0" applyFont="1" applyNumberFormat="1" applyFill="0" applyBorder="0" applyAlignment="0"/>
    <xf xfId="0" fontId="29" numFmtId="0" fillId="0" borderId="0" applyFont="1" applyNumberFormat="0" applyFill="0" applyBorder="0" applyAlignment="1">
      <alignment horizontal="left" vertical="center" textRotation="0" wrapText="false" shrinkToFit="false"/>
    </xf>
    <xf xfId="0" fontId="28" numFmtId="166" fillId="9" borderId="36" applyFont="1" applyNumberFormat="1" applyFill="1" applyBorder="1" applyAlignment="0"/>
    <xf xfId="0" fontId="22" numFmtId="166" fillId="6" borderId="36" applyFont="1" applyNumberFormat="1" applyFill="1" applyBorder="1" applyAlignment="1">
      <alignment horizontal="right" vertical="bottom" textRotation="0" wrapText="false" shrinkToFit="false"/>
    </xf>
    <xf xfId="0" fontId="22" numFmtId="166" fillId="6" borderId="37" applyFont="1" applyNumberFormat="1" applyFill="1" applyBorder="1" applyAlignment="1">
      <alignment horizontal="right" vertical="bottom" textRotation="0" wrapText="false" shrinkToFit="false"/>
    </xf>
    <xf xfId="0" fontId="25" numFmtId="166" fillId="6" borderId="38" applyFont="1" applyNumberFormat="1" applyFill="1" applyBorder="1" applyAlignment="1">
      <alignment horizontal="right" vertical="center" textRotation="0" wrapText="false" shrinkToFit="false"/>
    </xf>
    <xf xfId="0" fontId="17" numFmtId="166" fillId="0" borderId="9" applyFont="1" applyNumberFormat="1" applyFill="0" applyBorder="1" applyAlignment="0"/>
    <xf xfId="0" fontId="22" numFmtId="0" fillId="6" borderId="0" applyFont="1" applyNumberFormat="0" applyFill="1" applyBorder="0" applyAlignment="0"/>
    <xf xfId="0" fontId="22" numFmtId="166" fillId="6" borderId="0" applyFont="1" applyNumberFormat="1" applyFill="1" applyBorder="0" applyAlignment="0"/>
    <xf xfId="0" fontId="22" numFmtId="3" fillId="6" borderId="9" applyFont="1" applyNumberFormat="1" applyFill="1" applyBorder="1" applyAlignment="1">
      <alignment horizontal="right" vertical="bottom" textRotation="0" wrapText="false" shrinkToFit="false"/>
    </xf>
    <xf xfId="0" fontId="25" numFmtId="3" fillId="6" borderId="9" applyFont="1" applyNumberFormat="1" applyFill="1" applyBorder="1" applyAlignment="1">
      <alignment horizontal="right" vertical="center" textRotation="0" wrapText="false" shrinkToFit="false"/>
    </xf>
    <xf xfId="0" fontId="16" numFmtId="0" fillId="0" borderId="21" applyFont="1" applyNumberFormat="0" applyFill="0" applyBorder="1" applyAlignment="1">
      <alignment horizontal="center" vertical="center" textRotation="0" wrapText="true" shrinkToFit="false"/>
    </xf>
    <xf xfId="0" fontId="16" numFmtId="0" fillId="0" borderId="23" applyFont="1" applyNumberFormat="0" applyFill="0" applyBorder="1" applyAlignment="1">
      <alignment horizontal="center" vertical="center" textRotation="0" wrapText="true" shrinkToFit="false"/>
    </xf>
    <xf xfId="0" fontId="16" numFmtId="0" fillId="0" borderId="39" applyFont="1" applyNumberFormat="0" applyFill="0" applyBorder="1" applyAlignment="1">
      <alignment horizontal="center" vertical="center" textRotation="0" wrapText="true" shrinkToFit="false"/>
    </xf>
    <xf xfId="0" fontId="16" numFmtId="0" fillId="0" borderId="30" applyFont="1" applyNumberFormat="0" applyFill="0" applyBorder="1" applyAlignment="1">
      <alignment horizontal="center" vertical="center" textRotation="0" wrapText="true" shrinkToFit="false"/>
    </xf>
    <xf xfId="0" fontId="16" numFmtId="0" fillId="0" borderId="21" applyFont="1" applyNumberFormat="0" applyFill="0" applyBorder="1" applyAlignment="1">
      <alignment horizontal="center" vertical="center" textRotation="0" wrapText="true" shrinkToFit="false"/>
    </xf>
    <xf xfId="0" fontId="16" numFmtId="0" fillId="0" borderId="23" applyFont="1" applyNumberFormat="0" applyFill="0" applyBorder="1" applyAlignment="1">
      <alignment horizontal="center" vertical="center" textRotation="0" wrapText="true" shrinkToFit="false"/>
    </xf>
    <xf xfId="0" fontId="16" numFmtId="0" fillId="0" borderId="22" applyFont="1" applyNumberFormat="0" applyFill="0" applyBorder="1" applyAlignment="1">
      <alignment horizontal="center" vertical="center" textRotation="0" wrapText="true" shrinkToFit="false"/>
    </xf>
    <xf xfId="0" fontId="16" numFmtId="0" fillId="0" borderId="18" applyFont="1" applyNumberFormat="0" applyFill="0" applyBorder="1" applyAlignment="1">
      <alignment horizontal="center" vertical="center" textRotation="0" wrapText="true" shrinkToFit="false"/>
    </xf>
    <xf xfId="0" fontId="16" numFmtId="167" fillId="0" borderId="40" applyFont="1" applyNumberFormat="1" applyFill="0" applyBorder="1" applyAlignment="1">
      <alignment horizontal="center" vertical="center" textRotation="0" wrapText="true" shrinkToFit="false"/>
    </xf>
    <xf xfId="0" fontId="16" numFmtId="167" fillId="0" borderId="41" applyFont="1" applyNumberFormat="1" applyFill="0" applyBorder="1" applyAlignment="1">
      <alignment horizontal="center" vertical="center" textRotation="0" wrapText="true" shrinkToFit="false"/>
    </xf>
    <xf xfId="0" fontId="16" numFmtId="167" fillId="0" borderId="42" applyFont="1" applyNumberFormat="1" applyFill="0" applyBorder="1" applyAlignment="1">
      <alignment horizontal="center" vertical="center" textRotation="0" wrapText="true" shrinkToFit="false"/>
    </xf>
    <xf xfId="0" fontId="16" numFmtId="167" fillId="4" borderId="21" applyFont="1" applyNumberFormat="1" applyFill="1" applyBorder="1" applyAlignment="1">
      <alignment horizontal="center" vertical="center" textRotation="0" wrapText="true" shrinkToFit="false"/>
    </xf>
    <xf xfId="0" fontId="14" numFmtId="0" fillId="0" borderId="1" applyFont="1" applyNumberFormat="0" applyFill="0" applyBorder="1" applyAlignment="1">
      <alignment horizontal="center" vertical="center" textRotation="0" wrapText="true" shrinkToFit="false"/>
    </xf>
    <xf xfId="0" fontId="14" numFmtId="0" fillId="0" borderId="14" applyFont="1" applyNumberFormat="0" applyFill="0" applyBorder="1" applyAlignment="1">
      <alignment horizontal="center" vertical="center" textRotation="0" wrapText="true" shrinkToFit="false"/>
    </xf>
    <xf xfId="0" fontId="14" numFmtId="0" fillId="0" borderId="4" applyFont="1" applyNumberFormat="0" applyFill="0" applyBorder="1" applyAlignment="1">
      <alignment horizontal="center" vertical="center" textRotation="0" wrapText="true" shrinkToFit="false"/>
    </xf>
    <xf xfId="0" fontId="14" numFmtId="0" fillId="0" borderId="16" applyFont="1" applyNumberFormat="0" applyFill="0" applyBorder="1" applyAlignment="1">
      <alignment horizontal="center" vertical="center" textRotation="0" wrapText="true" shrinkToFit="false"/>
    </xf>
    <xf xfId="0" fontId="30" numFmtId="0" fillId="0" borderId="3" applyFont="1" applyNumberFormat="0" applyFill="0" applyBorder="1" applyAlignment="1">
      <alignment horizontal="center" vertical="bottom" textRotation="0" wrapText="false" shrinkToFit="false"/>
    </xf>
    <xf xfId="0" fontId="30" numFmtId="0" fillId="0" borderId="0" applyFont="1" applyNumberFormat="0" applyFill="0" applyBorder="0" applyAlignment="1">
      <alignment horizontal="center" vertical="bottom" textRotation="0" wrapText="false" shrinkToFit="false"/>
    </xf>
    <xf xfId="0" fontId="30" numFmtId="0" fillId="0" borderId="15" applyFont="1" applyNumberFormat="0" applyFill="0" applyBorder="1" applyAlignment="1">
      <alignment horizontal="center" vertical="bottom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43" applyFont="1" applyNumberFormat="0" applyFill="0" applyBorder="1" applyAlignment="1">
      <alignment horizontal="center" vertical="center" textRotation="0" wrapText="false" shrinkToFit="false"/>
    </xf>
    <xf xfId="0" fontId="1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0" borderId="45" applyFont="1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1" numFmtId="0" fillId="0" borderId="1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U138"/>
  <sheetViews>
    <sheetView tabSelected="1" workbookViewId="0" zoomScale="70" zoomScaleNormal="70" showGridLines="true" showRowColHeaders="1">
      <pane xSplit="8" ySplit="7" activePane="bottomRight" state="frozen" topLeftCell="I8"/>
      <selection pane="bottomRight" activeCell="BI10" sqref="BI10"/>
    </sheetView>
  </sheetViews>
  <sheetFormatPr defaultRowHeight="14.4" defaultColWidth="9.1796875" outlineLevelRow="0" outlineLevelCol="0"/>
  <cols>
    <col min="1" max="1" width="5.453125" customWidth="true" style="108"/>
    <col min="2" max="2" width="25.81640625" customWidth="true" style="108"/>
    <col min="3" max="3" width="22.453125" hidden="true" customWidth="true" style="108"/>
    <col min="4" max="4" width="15.453125" hidden="true" customWidth="true" style="108"/>
    <col min="5" max="5" width="9.54296875" hidden="true" customWidth="true" style="108"/>
    <col min="6" max="6" width="19.1796875" hidden="true" customWidth="true" style="108"/>
    <col min="7" max="7" width="21.453125" hidden="true" customWidth="true" style="108"/>
    <col min="8" max="8" width="5.54296875" hidden="true" customWidth="true" style="108"/>
    <col min="9" max="9" width="6.54296875" hidden="true" customWidth="true" style="108"/>
    <col min="10" max="10" width="4.54296875" hidden="true" customWidth="true" style="108"/>
    <col min="11" max="11" width="4.54296875" hidden="true" customWidth="true" style="108"/>
    <col min="12" max="12" width="4.54296875" hidden="true" customWidth="true" style="108"/>
    <col min="13" max="13" width="4.54296875" hidden="true" customWidth="true" style="108"/>
    <col min="14" max="14" width="4.54296875" hidden="true" customWidth="true" style="108"/>
    <col min="15" max="15" width="4.54296875" hidden="true" customWidth="true" style="108"/>
    <col min="16" max="16" width="4.54296875" hidden="true" customWidth="true" style="108"/>
    <col min="17" max="17" width="12.1796875" hidden="true" customWidth="true" style="108"/>
    <col min="18" max="18" width="5.1796875" hidden="true" customWidth="true" style="108"/>
    <col min="19" max="19" width="13.54296875" hidden="true" customWidth="true" style="109"/>
    <col min="20" max="20" width="5.1796875" hidden="true" customWidth="true" style="108"/>
    <col min="21" max="21" width="12.453125" hidden="true" customWidth="true" style="108"/>
    <col min="22" max="22" width="4.81640625" hidden="true" customWidth="true" style="110"/>
    <col min="23" max="23" width="10.54296875" hidden="true" customWidth="true" style="110"/>
    <col min="24" max="24" width="20.1796875" hidden="true" customWidth="true" style="108"/>
    <col min="25" max="25" width="17.54296875" hidden="true" customWidth="true" style="108"/>
    <col min="26" max="26" width="21.54296875" hidden="true" customWidth="true" style="108"/>
    <col min="27" max="27" width="16.453125" hidden="true" customWidth="true" style="108"/>
    <col min="28" max="28" width="16.453125" hidden="true" customWidth="true" style="108"/>
    <col min="29" max="29" width="14" hidden="true" customWidth="true" style="108"/>
    <col min="30" max="30" width="19.54296875" hidden="true" customWidth="true" style="108"/>
    <col min="31" max="31" width="19.54296875" hidden="true" customWidth="true" style="108"/>
    <col min="32" max="32" width="14" hidden="true" customWidth="true" style="108"/>
    <col min="33" max="33" width="15.54296875" customWidth="true" style="112"/>
    <col min="34" max="34" width="15.54296875" hidden="true" customWidth="true" style="108"/>
    <col min="35" max="35" width="13" hidden="true" customWidth="true" style="108"/>
    <col min="36" max="36" width="15.1796875" hidden="true" customWidth="true" style="108"/>
    <col min="37" max="37" width="15.1796875" customWidth="true" style="112"/>
    <col min="38" max="38" width="15.1796875" customWidth="true" style="112"/>
    <col min="39" max="39" width="15.1796875" customWidth="true" style="112"/>
    <col min="40" max="40" width="18.54296875" customWidth="true" style="112"/>
    <col min="41" max="41" width="24.453125" customWidth="true" style="112"/>
    <col min="42" max="42" width="17.54296875" customWidth="true" style="112"/>
    <col min="43" max="43" width="15.1796875" customWidth="true" style="112"/>
    <col min="44" max="44" width="23.1796875" customWidth="true" style="112"/>
    <col min="45" max="45" width="16" customWidth="true" style="212"/>
    <col min="46" max="46" width="15.453125" customWidth="true" style="212"/>
    <col min="47" max="47" width="14" customWidth="true" style="112"/>
    <col min="48" max="48" width="17" customWidth="true" style="112"/>
    <col min="49" max="49" width="16.1796875" customWidth="true" style="112"/>
    <col min="50" max="50" width="21.54296875" customWidth="true" style="213"/>
    <col min="51" max="51" width="13.1796875" customWidth="true" style="108"/>
    <col min="52" max="52" width="15.54296875" customWidth="true" style="108"/>
    <col min="53" max="53" width="17" customWidth="true" style="108"/>
    <col min="54" max="54" width="4.54296875" customWidth="true" style="108"/>
    <col min="55" max="55" width="17" customWidth="true" style="108"/>
    <col min="56" max="56" width="17" customWidth="true" style="108"/>
    <col min="57" max="57" width="3.453125" customWidth="true" style="108"/>
    <col min="58" max="58" width="17" customWidth="true" style="234"/>
    <col min="59" max="59" width="5.1796875" customWidth="true" style="113"/>
    <col min="60" max="60" width="5.54296875" customWidth="true" style="108"/>
    <col min="61" max="61" width="13.54296875" customWidth="true" style="108"/>
    <col min="62" max="62" width="9.1796875" style="108"/>
  </cols>
  <sheetData>
    <row r="1" spans="1:255">
      <c r="A1" s="107" t="s">
        <v>0</v>
      </c>
      <c r="AG1" s="111" t="s">
        <v>1</v>
      </c>
    </row>
    <row r="2" spans="1:255">
      <c r="A2" s="107" t="s">
        <v>2</v>
      </c>
      <c r="D2" s="114"/>
      <c r="E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5"/>
      <c r="T2" s="114"/>
      <c r="U2" s="114"/>
      <c r="V2" s="116"/>
      <c r="W2" s="116"/>
      <c r="Y2" s="118"/>
      <c r="Z2" s="118"/>
      <c r="AA2" s="118"/>
      <c r="AB2" s="118"/>
      <c r="AC2" s="118"/>
      <c r="AD2" s="118"/>
      <c r="AE2" s="118"/>
      <c r="AF2" s="118"/>
      <c r="AG2" s="117" t="s">
        <v>3</v>
      </c>
      <c r="AH2" s="118"/>
      <c r="AI2" s="118"/>
      <c r="AJ2" s="118"/>
      <c r="AK2" s="119"/>
      <c r="AL2" s="119"/>
      <c r="AM2" s="119"/>
      <c r="AN2" s="119"/>
      <c r="AO2" s="119"/>
      <c r="AP2" s="119"/>
      <c r="AQ2" s="119"/>
      <c r="AR2" s="119"/>
      <c r="AS2" s="214"/>
      <c r="AT2" s="214"/>
      <c r="AU2" s="119"/>
      <c r="AV2" s="119"/>
      <c r="AW2" s="119"/>
      <c r="AX2" s="215"/>
      <c r="AY2" s="229"/>
      <c r="AZ2" s="230"/>
      <c r="BA2" s="230"/>
      <c r="BB2" s="230"/>
      <c r="BC2" s="230"/>
      <c r="BD2" s="230"/>
    </row>
    <row r="3" spans="1:255" customHeight="1" ht="15">
      <c r="A3" s="107" t="s">
        <v>4</v>
      </c>
      <c r="Y3" s="118"/>
      <c r="Z3" s="118"/>
      <c r="AA3" s="118"/>
      <c r="AB3" s="118"/>
      <c r="AC3" s="118"/>
      <c r="AD3" s="118"/>
      <c r="AE3" s="118"/>
      <c r="AF3" s="118"/>
      <c r="AG3" s="121" t="s">
        <v>5</v>
      </c>
      <c r="AH3" s="118"/>
      <c r="AI3" s="118"/>
      <c r="AJ3" s="118"/>
      <c r="AK3" s="119"/>
      <c r="AL3" s="119"/>
      <c r="AM3" s="119"/>
      <c r="AN3" s="119"/>
      <c r="AO3" s="119"/>
      <c r="AP3" s="119"/>
      <c r="AQ3" s="119"/>
      <c r="AR3" s="119"/>
      <c r="AS3" s="214"/>
      <c r="AT3" s="214"/>
      <c r="AU3" s="119"/>
      <c r="AV3" s="119"/>
      <c r="AW3" s="119"/>
      <c r="AX3" s="215"/>
      <c r="AY3" s="231"/>
      <c r="AZ3" s="232"/>
      <c r="BA3" s="230"/>
      <c r="BB3" s="233"/>
      <c r="BC3" s="232"/>
      <c r="BD3" s="230"/>
    </row>
    <row r="4" spans="1:255">
      <c r="A4" s="107" t="s">
        <v>6</v>
      </c>
      <c r="Y4" s="118"/>
      <c r="Z4" s="118"/>
      <c r="AA4" s="118"/>
      <c r="AB4" s="118"/>
      <c r="AC4" s="118"/>
      <c r="AD4" s="118"/>
      <c r="AE4" s="118"/>
      <c r="AF4" s="118"/>
      <c r="AG4" s="121" t="s">
        <v>7</v>
      </c>
      <c r="AH4" s="118"/>
      <c r="AI4" s="118"/>
      <c r="AJ4" s="118"/>
      <c r="AK4" s="119"/>
      <c r="AL4" s="119"/>
      <c r="AM4" s="119"/>
      <c r="AN4" s="119"/>
      <c r="AO4" s="119"/>
      <c r="AP4" s="119"/>
      <c r="AQ4" s="119"/>
      <c r="AR4" s="119"/>
      <c r="AS4" s="214"/>
      <c r="AT4" s="214"/>
      <c r="AU4" s="119"/>
      <c r="AV4" s="119"/>
      <c r="AW4" s="119"/>
      <c r="AX4" s="216"/>
      <c r="AY4" s="231"/>
      <c r="AZ4" s="232"/>
      <c r="BA4" s="230"/>
      <c r="BB4" s="233"/>
      <c r="BC4" s="232"/>
      <c r="BD4" s="230"/>
    </row>
    <row r="5" spans="1:255" customHeight="1" ht="18.75" s="110" customFormat="1">
      <c r="A5" s="122">
        <v>1</v>
      </c>
      <c r="B5" s="122">
        <f>A5+1</f>
        <v>2</v>
      </c>
      <c r="C5" s="122">
        <f>B5+1</f>
        <v>3</v>
      </c>
      <c r="D5" s="122">
        <f>C5+1</f>
        <v>4</v>
      </c>
      <c r="E5" s="122">
        <f>D5+1</f>
        <v>5</v>
      </c>
      <c r="F5" s="122">
        <f>E5+1</f>
        <v>6</v>
      </c>
      <c r="G5" s="122">
        <f>F5+1</f>
        <v>7</v>
      </c>
      <c r="H5" s="122">
        <f>G5+1</f>
        <v>8</v>
      </c>
      <c r="I5" s="122">
        <f>H5+1</f>
        <v>9</v>
      </c>
      <c r="J5" s="122">
        <f>I5+1</f>
        <v>10</v>
      </c>
      <c r="K5" s="122">
        <f>J5+1</f>
        <v>11</v>
      </c>
      <c r="L5" s="122">
        <f>K5+1</f>
        <v>12</v>
      </c>
      <c r="M5" s="122">
        <f>L5+1</f>
        <v>13</v>
      </c>
      <c r="N5" s="122">
        <f>M5+1</f>
        <v>14</v>
      </c>
      <c r="O5" s="122">
        <f>N5+1</f>
        <v>15</v>
      </c>
      <c r="P5" s="122">
        <f>O5+1</f>
        <v>16</v>
      </c>
      <c r="Q5" s="122">
        <f>P5+1</f>
        <v>17</v>
      </c>
      <c r="R5" s="122">
        <f>Q5+1</f>
        <v>18</v>
      </c>
      <c r="S5" s="122">
        <f>R5+1</f>
        <v>19</v>
      </c>
      <c r="T5" s="122">
        <f>S5+1</f>
        <v>20</v>
      </c>
      <c r="U5" s="122">
        <f>T5+1</f>
        <v>21</v>
      </c>
      <c r="V5" s="122">
        <f>U5+1</f>
        <v>22</v>
      </c>
      <c r="W5" s="122">
        <f>V5+1</f>
        <v>23</v>
      </c>
      <c r="X5" s="122">
        <f>W5+1</f>
        <v>24</v>
      </c>
      <c r="Y5" s="122">
        <f>X5+1</f>
        <v>25</v>
      </c>
      <c r="Z5" s="122">
        <f>Y5+1</f>
        <v>26</v>
      </c>
      <c r="AA5" s="122">
        <f>Z5+1</f>
        <v>27</v>
      </c>
      <c r="AB5" s="122">
        <f>AA5+1</f>
        <v>28</v>
      </c>
      <c r="AC5" s="122">
        <f>AB5+1</f>
        <v>29</v>
      </c>
      <c r="AD5" s="122">
        <f>AC5+1</f>
        <v>30</v>
      </c>
      <c r="AE5" s="122">
        <f>AD5+1</f>
        <v>31</v>
      </c>
      <c r="AF5" s="122">
        <f>AE5+1</f>
        <v>32</v>
      </c>
      <c r="AG5" s="122">
        <f>AF5+1</f>
        <v>33</v>
      </c>
      <c r="AH5" s="122">
        <f>AG5+1</f>
        <v>34</v>
      </c>
      <c r="AI5" s="122">
        <f>AH5+1</f>
        <v>35</v>
      </c>
      <c r="AJ5" s="122">
        <f>AI5+1</f>
        <v>36</v>
      </c>
      <c r="AK5" s="122">
        <f>AJ5+1</f>
        <v>37</v>
      </c>
      <c r="AL5" s="122">
        <f>AK5+1</f>
        <v>38</v>
      </c>
      <c r="AM5" s="122">
        <f>AL5+1</f>
        <v>39</v>
      </c>
      <c r="AN5" s="122">
        <f>AM5+1</f>
        <v>40</v>
      </c>
      <c r="AO5" s="122">
        <f>AN5+1</f>
        <v>41</v>
      </c>
      <c r="AP5" s="122">
        <f>AO5+1</f>
        <v>42</v>
      </c>
      <c r="AQ5" s="122">
        <f>AP5+1</f>
        <v>43</v>
      </c>
      <c r="AR5" s="122">
        <f>AQ5+1</f>
        <v>44</v>
      </c>
      <c r="AS5" s="122">
        <f>AR5+1</f>
        <v>45</v>
      </c>
      <c r="AT5" s="122">
        <f>AS5+1</f>
        <v>46</v>
      </c>
      <c r="AU5" s="122">
        <f>AT5+1</f>
        <v>47</v>
      </c>
      <c r="AV5" s="122">
        <f>AU5+1</f>
        <v>48</v>
      </c>
      <c r="AW5" s="122">
        <f>AV5+1</f>
        <v>49</v>
      </c>
      <c r="AX5" s="122">
        <f>AW5+1</f>
        <v>50</v>
      </c>
      <c r="AY5" s="122">
        <f>AX5+1</f>
        <v>51</v>
      </c>
      <c r="AZ5" s="122">
        <f>AY5+1</f>
        <v>52</v>
      </c>
      <c r="BA5" s="122">
        <f>AZ5+1</f>
        <v>53</v>
      </c>
      <c r="BB5" s="122">
        <f>BA5+1</f>
        <v>54</v>
      </c>
      <c r="BC5" s="122">
        <f>BB5+1</f>
        <v>55</v>
      </c>
      <c r="BD5" s="122">
        <f>BC5+1</f>
        <v>56</v>
      </c>
      <c r="BE5" s="122">
        <f>BD5+1</f>
        <v>57</v>
      </c>
      <c r="BF5" s="239">
        <f>BE5+1</f>
        <v>58</v>
      </c>
      <c r="BG5" s="122">
        <f>BF5+1</f>
        <v>59</v>
      </c>
    </row>
    <row r="6" spans="1:255" customHeight="1" ht="46.5" s="125" customFormat="1">
      <c r="A6" s="287" t="s">
        <v>8</v>
      </c>
      <c r="B6" s="289" t="s">
        <v>9</v>
      </c>
      <c r="C6" s="123"/>
      <c r="D6" s="123"/>
      <c r="E6" s="123"/>
      <c r="F6" s="123"/>
      <c r="G6" s="291" t="s">
        <v>10</v>
      </c>
      <c r="H6" s="285" t="s">
        <v>11</v>
      </c>
      <c r="I6" s="285" t="s">
        <v>12</v>
      </c>
      <c r="J6" s="285" t="s">
        <v>13</v>
      </c>
      <c r="K6" s="285" t="s">
        <v>14</v>
      </c>
      <c r="L6" s="285" t="s">
        <v>15</v>
      </c>
      <c r="M6" s="285" t="s">
        <v>16</v>
      </c>
      <c r="N6" s="285" t="s">
        <v>17</v>
      </c>
      <c r="O6" s="285" t="s">
        <v>18</v>
      </c>
      <c r="P6" s="285" t="s">
        <v>19</v>
      </c>
      <c r="Q6" s="285"/>
      <c r="R6" s="285"/>
      <c r="S6" s="285"/>
      <c r="T6" s="285"/>
      <c r="U6" s="285"/>
      <c r="V6" s="285"/>
      <c r="W6" s="285"/>
      <c r="X6" s="293" t="s">
        <v>20</v>
      </c>
      <c r="Y6" s="294"/>
      <c r="Z6" s="294"/>
      <c r="AA6" s="294"/>
      <c r="AB6" s="294"/>
      <c r="AC6" s="294"/>
      <c r="AD6" s="294"/>
      <c r="AE6" s="294"/>
      <c r="AF6" s="294"/>
      <c r="AG6" s="294"/>
      <c r="AH6" s="294"/>
      <c r="AI6" s="294"/>
      <c r="AJ6" s="294"/>
      <c r="AK6" s="294"/>
      <c r="AL6" s="294"/>
      <c r="AM6" s="294"/>
      <c r="AN6" s="295"/>
      <c r="AO6" s="195" t="s">
        <v>21</v>
      </c>
      <c r="AP6" s="296" t="s">
        <v>22</v>
      </c>
      <c r="AQ6" s="296"/>
      <c r="AR6" s="195" t="s">
        <v>21</v>
      </c>
      <c r="AS6" s="296" t="s">
        <v>23</v>
      </c>
      <c r="AT6" s="296"/>
      <c r="AU6" s="296"/>
      <c r="AV6" s="296"/>
      <c r="AW6" s="296"/>
      <c r="AX6" s="217" t="s">
        <v>21</v>
      </c>
      <c r="AY6" s="134"/>
      <c r="AZ6" s="124"/>
      <c r="BA6" s="124"/>
      <c r="BB6" s="135"/>
      <c r="BC6" s="124" t="s">
        <v>24</v>
      </c>
      <c r="BD6" s="124" t="s">
        <v>25</v>
      </c>
      <c r="BE6" s="135"/>
      <c r="BF6" s="240" t="s">
        <v>26</v>
      </c>
      <c r="BG6" s="126"/>
    </row>
    <row r="7" spans="1:255" customHeight="1" ht="31.5" s="125" customFormat="1">
      <c r="A7" s="288"/>
      <c r="B7" s="290"/>
      <c r="C7" s="127" t="s">
        <v>27</v>
      </c>
      <c r="D7" s="128" t="s">
        <v>28</v>
      </c>
      <c r="E7" s="128" t="s">
        <v>29</v>
      </c>
      <c r="F7" s="128" t="s">
        <v>30</v>
      </c>
      <c r="G7" s="292"/>
      <c r="H7" s="286"/>
      <c r="I7" s="286"/>
      <c r="J7" s="286"/>
      <c r="K7" s="286"/>
      <c r="L7" s="286"/>
      <c r="M7" s="286"/>
      <c r="N7" s="286"/>
      <c r="O7" s="286"/>
      <c r="P7" s="128" t="s">
        <v>31</v>
      </c>
      <c r="Q7" s="128" t="s">
        <v>32</v>
      </c>
      <c r="R7" s="128">
        <v>1</v>
      </c>
      <c r="S7" s="129" t="s">
        <v>33</v>
      </c>
      <c r="T7" s="290" t="s">
        <v>34</v>
      </c>
      <c r="U7" s="290"/>
      <c r="V7" s="130" t="s">
        <v>31</v>
      </c>
      <c r="W7" s="130" t="s">
        <v>35</v>
      </c>
      <c r="X7" s="131" t="s">
        <v>36</v>
      </c>
      <c r="Y7" s="131" t="s">
        <v>32</v>
      </c>
      <c r="Z7" s="131" t="s">
        <v>34</v>
      </c>
      <c r="AA7" s="131" t="s">
        <v>37</v>
      </c>
      <c r="AB7" s="131" t="s">
        <v>38</v>
      </c>
      <c r="AC7" s="131" t="s">
        <v>39</v>
      </c>
      <c r="AD7" s="131" t="s">
        <v>40</v>
      </c>
      <c r="AE7" s="131" t="s">
        <v>41</v>
      </c>
      <c r="AF7" s="131" t="s">
        <v>33</v>
      </c>
      <c r="AG7" s="132" t="s">
        <v>42</v>
      </c>
      <c r="AH7" s="133" t="s">
        <v>43</v>
      </c>
      <c r="AI7" s="133" t="s">
        <v>44</v>
      </c>
      <c r="AJ7" s="133" t="s">
        <v>45</v>
      </c>
      <c r="AK7" s="188" t="s">
        <v>46</v>
      </c>
      <c r="AL7" s="188" t="s">
        <v>47</v>
      </c>
      <c r="AM7" s="188" t="s">
        <v>48</v>
      </c>
      <c r="AN7" s="188" t="s">
        <v>49</v>
      </c>
      <c r="AO7" s="132" t="s">
        <v>50</v>
      </c>
      <c r="AP7" s="132" t="s">
        <v>35</v>
      </c>
      <c r="AQ7" s="132" t="s">
        <v>51</v>
      </c>
      <c r="AR7" s="132" t="s">
        <v>52</v>
      </c>
      <c r="AS7" s="218" t="s">
        <v>53</v>
      </c>
      <c r="AT7" s="132" t="s">
        <v>54</v>
      </c>
      <c r="AU7" s="188" t="s">
        <v>55</v>
      </c>
      <c r="AV7" s="188" t="s">
        <v>56</v>
      </c>
      <c r="AW7" s="132" t="s">
        <v>57</v>
      </c>
      <c r="AX7" s="219" t="s">
        <v>58</v>
      </c>
      <c r="AY7" s="134"/>
      <c r="AZ7" s="135" t="s">
        <v>59</v>
      </c>
      <c r="BA7" s="135" t="s">
        <v>60</v>
      </c>
      <c r="BB7" s="135"/>
      <c r="BC7" s="135"/>
      <c r="BD7" s="135"/>
      <c r="BE7" s="135"/>
      <c r="BF7" s="241"/>
      <c r="BG7" s="126"/>
    </row>
    <row r="8" spans="1:255" customHeight="1" ht="13.5">
      <c r="A8" s="196"/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  <c r="Q8" s="189"/>
      <c r="R8" s="189"/>
      <c r="S8" s="190"/>
      <c r="T8" s="189"/>
      <c r="U8" s="189"/>
      <c r="V8" s="189"/>
      <c r="W8" s="189"/>
      <c r="X8" s="189"/>
      <c r="Y8" s="189"/>
      <c r="Z8" s="189"/>
      <c r="AA8" s="189"/>
      <c r="AB8" s="189"/>
      <c r="AC8" s="189"/>
      <c r="AD8" s="189"/>
      <c r="AE8" s="189"/>
      <c r="AF8" s="189"/>
      <c r="AG8" s="191"/>
      <c r="AH8" s="192">
        <v>0.057</v>
      </c>
      <c r="AI8" s="192">
        <v>0.0054</v>
      </c>
      <c r="AJ8" s="193">
        <v>0.04</v>
      </c>
      <c r="AK8" s="194"/>
      <c r="AL8" s="194"/>
      <c r="AM8" s="194"/>
      <c r="AN8" s="194"/>
      <c r="AO8" s="191"/>
      <c r="AP8" s="191"/>
      <c r="AQ8" s="194">
        <v>0.03</v>
      </c>
      <c r="AR8" s="191"/>
      <c r="AS8" s="220"/>
      <c r="AT8" s="221">
        <v>0.1024</v>
      </c>
      <c r="AU8" s="194">
        <v>0.01</v>
      </c>
      <c r="AV8" s="194"/>
      <c r="AW8" s="191"/>
      <c r="AX8" s="222"/>
      <c r="AY8" s="136"/>
      <c r="AZ8" s="136"/>
      <c r="BA8" s="136"/>
      <c r="BB8" s="136"/>
      <c r="BC8" s="137"/>
      <c r="BD8" s="137"/>
      <c r="BE8" s="136"/>
      <c r="BF8" s="242"/>
    </row>
    <row r="9" spans="1:255" customHeight="1" ht="22.5">
      <c r="A9" s="138"/>
      <c r="B9" s="139"/>
      <c r="C9" s="150"/>
      <c r="D9" s="139"/>
      <c r="E9" s="139"/>
      <c r="F9" s="151"/>
      <c r="G9" s="151"/>
      <c r="H9" s="140"/>
      <c r="I9" s="141"/>
      <c r="J9" s="141"/>
      <c r="K9" s="141"/>
      <c r="L9" s="141"/>
      <c r="M9" s="141"/>
      <c r="N9" s="141"/>
      <c r="O9" s="141"/>
      <c r="P9" s="141"/>
      <c r="Q9" s="142"/>
      <c r="R9" s="142"/>
      <c r="S9" s="142">
        <f>600000/2</f>
        <v>300000</v>
      </c>
      <c r="T9" s="142"/>
      <c r="U9" s="142"/>
      <c r="V9" s="143"/>
      <c r="W9" s="176"/>
      <c r="X9" s="153"/>
      <c r="Y9" s="144">
        <f>+P9*Q9</f>
        <v>0</v>
      </c>
      <c r="Z9" s="144">
        <f>+U9*T9</f>
        <v>0</v>
      </c>
      <c r="AA9" s="144"/>
      <c r="AB9" s="144"/>
      <c r="AC9" s="144"/>
      <c r="AD9" s="144"/>
      <c r="AE9" s="144"/>
      <c r="AF9" s="144">
        <f>S9*R9</f>
        <v>0</v>
      </c>
      <c r="AG9" s="145">
        <f>SUM(X9:AF9)</f>
        <v>0</v>
      </c>
      <c r="AH9" s="144">
        <f>$AH$8*BC9</f>
        <v>0</v>
      </c>
      <c r="AI9" s="144">
        <f>$AI$8*BC9</f>
        <v>0</v>
      </c>
      <c r="AJ9" s="144">
        <f>$AJ$8*BD9</f>
        <v>0</v>
      </c>
      <c r="AK9" s="145">
        <f>SUM(AH9:AJ9)</f>
        <v>0</v>
      </c>
      <c r="AL9" s="145"/>
      <c r="AM9" s="145"/>
      <c r="AN9" s="145">
        <f>BF9</f>
        <v>0</v>
      </c>
      <c r="AO9" s="177">
        <f>AG9+AK9+AN9+AL9+AM9</f>
        <v>0</v>
      </c>
      <c r="AP9" s="145">
        <f>(V9*W9)+((50%*J9*Q9)+(K9*Q9))</f>
        <v>0</v>
      </c>
      <c r="AQ9" s="145">
        <f>BC9*$AQ$8</f>
        <v>0</v>
      </c>
      <c r="AR9" s="177">
        <f>AO9-AP9-AQ9</f>
        <v>0</v>
      </c>
      <c r="AS9" s="223"/>
      <c r="AT9" s="145">
        <f>AK9</f>
        <v>0</v>
      </c>
      <c r="AU9" s="224">
        <f>BD9*$AU$8</f>
        <v>0</v>
      </c>
      <c r="AV9" s="145">
        <f>AN9</f>
        <v>0</v>
      </c>
      <c r="AW9" s="177">
        <f>SUM(AS9:AV9)</f>
        <v>0</v>
      </c>
      <c r="AX9" s="225">
        <f>AR9-AW9</f>
        <v>0</v>
      </c>
      <c r="AY9" s="149"/>
      <c r="AZ9" s="175">
        <f>AU9+AJ9</f>
        <v>0</v>
      </c>
      <c r="BA9" s="147">
        <f>AK9+AQ9-AJ9</f>
        <v>0</v>
      </c>
      <c r="BB9" s="149"/>
      <c r="BC9" s="174">
        <v>0</v>
      </c>
      <c r="BD9" s="174">
        <v>0</v>
      </c>
      <c r="BE9" s="149"/>
      <c r="BF9" s="245"/>
      <c r="BI9" s="118"/>
    </row>
    <row r="10" spans="1:255" customHeight="1" ht="23.25">
      <c r="A10" s="138">
        <f>A9+1</f>
        <v>1</v>
      </c>
      <c r="B10" s="139"/>
      <c r="C10" s="150"/>
      <c r="D10" s="139"/>
      <c r="E10" s="139"/>
      <c r="F10" s="151"/>
      <c r="G10" s="151"/>
      <c r="H10" s="140"/>
      <c r="I10" s="178"/>
      <c r="J10" s="179"/>
      <c r="K10" s="178"/>
      <c r="L10" s="180"/>
      <c r="M10" s="180"/>
      <c r="N10" s="180"/>
      <c r="O10" s="180"/>
      <c r="P10" s="180"/>
      <c r="Q10" s="152"/>
      <c r="R10" s="139"/>
      <c r="S10" s="181"/>
      <c r="T10" s="146"/>
      <c r="U10" s="153">
        <f>X10*0.1</f>
        <v>0</v>
      </c>
      <c r="V10" s="154">
        <f>O10</f>
        <v>0</v>
      </c>
      <c r="W10" s="182"/>
      <c r="X10" s="153"/>
      <c r="Y10" s="144">
        <f>+P10*Q10</f>
        <v>0</v>
      </c>
      <c r="Z10" s="144">
        <f>+U10*T10</f>
        <v>0</v>
      </c>
      <c r="AA10" s="144">
        <v>2000000</v>
      </c>
      <c r="AB10" s="144">
        <v>200000</v>
      </c>
      <c r="AC10" s="144"/>
      <c r="AD10" s="144">
        <v>2000000</v>
      </c>
      <c r="AE10" s="144"/>
      <c r="AF10" s="144">
        <f>S10*R10</f>
        <v>0</v>
      </c>
      <c r="AG10" s="145">
        <f>SUM(X10:AF10)</f>
        <v>4200000</v>
      </c>
      <c r="AH10" s="144">
        <f>$AH$8*BC10</f>
        <v>384750</v>
      </c>
      <c r="AI10" s="144">
        <f>$AI$8*BC10</f>
        <v>36450</v>
      </c>
      <c r="AJ10" s="144">
        <f>$AJ$8*BD10</f>
        <v>270000</v>
      </c>
      <c r="AK10" s="145">
        <f>SUM(AH10:AJ10)</f>
        <v>691200</v>
      </c>
      <c r="AL10" s="145"/>
      <c r="AM10" s="145"/>
      <c r="AN10" s="145">
        <f>BF10</f>
        <v>0</v>
      </c>
      <c r="AO10" s="177">
        <f>AG10+AK10+AN10+AL10+AM10</f>
        <v>4891200</v>
      </c>
      <c r="AP10" s="145">
        <f>(V10*W10)+((50%*J10*Q10)+(K10*Q10))</f>
        <v>0</v>
      </c>
      <c r="AQ10" s="145">
        <f>BC10*$AQ$8</f>
        <v>202500</v>
      </c>
      <c r="AR10" s="177">
        <f>AO10-AP10-AQ10</f>
        <v>4688700</v>
      </c>
      <c r="AS10" s="223"/>
      <c r="AT10" s="145">
        <f>AK10</f>
        <v>691200</v>
      </c>
      <c r="AU10" s="224">
        <f>BD10*$AU$8</f>
        <v>67500</v>
      </c>
      <c r="AV10" s="145">
        <f>AN10</f>
        <v>0</v>
      </c>
      <c r="AW10" s="177">
        <f>SUM(AS10:AV10)</f>
        <v>758700</v>
      </c>
      <c r="AX10" s="225">
        <f>AR10-AW10</f>
        <v>3930000</v>
      </c>
      <c r="AY10" s="149"/>
      <c r="AZ10" s="175">
        <f>AU10+AJ10</f>
        <v>337500</v>
      </c>
      <c r="BA10" s="147">
        <f>AK10+AQ10-AJ10</f>
        <v>623700</v>
      </c>
      <c r="BB10" s="155"/>
      <c r="BC10" s="153">
        <v>6750000</v>
      </c>
      <c r="BD10" s="153">
        <v>6750000</v>
      </c>
      <c r="BE10" s="155"/>
      <c r="BF10" s="245"/>
      <c r="BI10" s="118"/>
    </row>
    <row r="11" spans="1:255" customHeight="1" ht="23.25">
      <c r="A11" s="138">
        <f>A10+1</f>
        <v>2</v>
      </c>
      <c r="B11" s="139"/>
      <c r="C11" s="150"/>
      <c r="D11" s="139"/>
      <c r="E11" s="139"/>
      <c r="F11" s="151"/>
      <c r="G11" s="151"/>
      <c r="H11" s="140"/>
      <c r="I11" s="178"/>
      <c r="J11" s="179"/>
      <c r="K11" s="178"/>
      <c r="L11" s="180"/>
      <c r="M11" s="180"/>
      <c r="N11" s="180"/>
      <c r="O11" s="180"/>
      <c r="P11" s="180"/>
      <c r="Q11" s="152"/>
      <c r="R11" s="139"/>
      <c r="S11" s="181"/>
      <c r="T11" s="146"/>
      <c r="U11" s="153">
        <f>X11*0.1</f>
        <v>0</v>
      </c>
      <c r="V11" s="154">
        <f>O11</f>
        <v>0</v>
      </c>
      <c r="W11" s="182"/>
      <c r="X11" s="153"/>
      <c r="Y11" s="144">
        <f>+P11*Q11</f>
        <v>0</v>
      </c>
      <c r="Z11" s="144">
        <f>+U11*T11</f>
        <v>0</v>
      </c>
      <c r="AA11" s="144"/>
      <c r="AB11" s="144"/>
      <c r="AC11" s="144"/>
      <c r="AD11" s="144"/>
      <c r="AE11" s="144"/>
      <c r="AF11" s="144">
        <f>S11*R11</f>
        <v>0</v>
      </c>
      <c r="AG11" s="145">
        <f>SUM(X11:AF11)</f>
        <v>0</v>
      </c>
      <c r="AH11" s="144">
        <f>$AH$8*BC11</f>
        <v>326602.9320000000298</v>
      </c>
      <c r="AI11" s="144">
        <f>$AI$8*BC11</f>
        <v>30941.33040000000256</v>
      </c>
      <c r="AJ11" s="144">
        <f>$AJ$8*BD11</f>
        <v>229195.040000000008149</v>
      </c>
      <c r="AK11" s="145">
        <f>SUM(AH11:AJ11)</f>
        <v>586739.30240000004414</v>
      </c>
      <c r="AL11" s="145"/>
      <c r="AM11" s="145"/>
      <c r="AN11" s="145">
        <f>BF11</f>
        <v>0</v>
      </c>
      <c r="AO11" s="177">
        <f>AG11+AK11+AN11+AL11+AM11</f>
        <v>586739.30240000004414</v>
      </c>
      <c r="AP11" s="145">
        <f>(V11*W11)+((50%*J11*Q11)+(K11*Q11))</f>
        <v>0</v>
      </c>
      <c r="AQ11" s="145">
        <f>BC11*$AQ$8</f>
        <v>171896.27999999999884</v>
      </c>
      <c r="AR11" s="177">
        <f>AO11-AP11-AQ11</f>
        <v>414843.022400000016205</v>
      </c>
      <c r="AS11" s="223"/>
      <c r="AT11" s="145">
        <f>AK11</f>
        <v>586739.30240000004414</v>
      </c>
      <c r="AU11" s="224">
        <f>BD11*$AU$8</f>
        <v>57298.76000000000204</v>
      </c>
      <c r="AV11" s="145">
        <f>AN11</f>
        <v>0</v>
      </c>
      <c r="AW11" s="177">
        <f>SUM(AS11:AV11)</f>
        <v>644038.062400000053458</v>
      </c>
      <c r="AX11" s="225">
        <f>AR11-AW11</f>
        <v>-229195.040000000037253</v>
      </c>
      <c r="AY11" s="149"/>
      <c r="AZ11" s="175">
        <f>AU11+AJ11</f>
        <v>286493.79999999998836</v>
      </c>
      <c r="BA11" s="147">
        <f>AK11+AQ11-AJ11</f>
        <v>529440.54240000003483</v>
      </c>
      <c r="BB11" s="155"/>
      <c r="BC11" s="153">
        <v>5729876</v>
      </c>
      <c r="BD11" s="153">
        <v>5729876</v>
      </c>
      <c r="BE11" s="155"/>
      <c r="BF11" s="245"/>
      <c r="BI11" s="118"/>
    </row>
    <row r="12" spans="1:255" customHeight="1" ht="24">
      <c r="A12" s="138">
        <f>A11+1</f>
        <v>3</v>
      </c>
      <c r="B12" s="139"/>
      <c r="C12" s="150"/>
      <c r="D12" s="139"/>
      <c r="E12" s="139"/>
      <c r="F12" s="151"/>
      <c r="G12" s="151"/>
      <c r="H12" s="140"/>
      <c r="I12" s="178"/>
      <c r="J12" s="179"/>
      <c r="K12" s="178"/>
      <c r="L12" s="180"/>
      <c r="M12" s="180"/>
      <c r="N12" s="180"/>
      <c r="O12" s="180"/>
      <c r="P12" s="180"/>
      <c r="Q12" s="153"/>
      <c r="R12" s="139"/>
      <c r="S12" s="181"/>
      <c r="T12" s="146"/>
      <c r="U12" s="153">
        <f>X12*0.1</f>
        <v>0</v>
      </c>
      <c r="V12" s="154">
        <f>O12</f>
        <v>0</v>
      </c>
      <c r="W12" s="182"/>
      <c r="X12" s="153"/>
      <c r="Y12" s="144">
        <f>+P12*Q12</f>
        <v>0</v>
      </c>
      <c r="Z12" s="144">
        <f>+U12*T12</f>
        <v>0</v>
      </c>
      <c r="AA12" s="144"/>
      <c r="AB12" s="144"/>
      <c r="AC12" s="144"/>
      <c r="AD12" s="144"/>
      <c r="AE12" s="144"/>
      <c r="AF12" s="144">
        <f>S12*R12</f>
        <v>0</v>
      </c>
      <c r="AG12" s="145">
        <f>SUM(X12:AF12)</f>
        <v>0</v>
      </c>
      <c r="AH12" s="144">
        <f>$AH$8*BC12</f>
        <v>326602.9320000000298</v>
      </c>
      <c r="AI12" s="144">
        <f>$AI$8*BC12</f>
        <v>30941.33040000000256</v>
      </c>
      <c r="AJ12" s="144">
        <f>$AJ$8*BD12</f>
        <v>229195.040000000008149</v>
      </c>
      <c r="AK12" s="145">
        <f>SUM(AH12:AJ12)</f>
        <v>586739.30240000004414</v>
      </c>
      <c r="AL12" s="145"/>
      <c r="AM12" s="145"/>
      <c r="AN12" s="145">
        <f>BF12</f>
        <v>0</v>
      </c>
      <c r="AO12" s="177">
        <f>AG12+AK12+AN12+AL12+AM12</f>
        <v>586739.30240000004414</v>
      </c>
      <c r="AP12" s="145">
        <f>(V12*W12)+((50%*J12*Q12)+(K12*Q12))</f>
        <v>0</v>
      </c>
      <c r="AQ12" s="145">
        <f>BC12*$AQ$8</f>
        <v>171896.27999999999884</v>
      </c>
      <c r="AR12" s="177">
        <f>AO12-AP12-AQ12</f>
        <v>414843.022400000016205</v>
      </c>
      <c r="AS12" s="223"/>
      <c r="AT12" s="145">
        <f>AK12</f>
        <v>586739.30240000004414</v>
      </c>
      <c r="AU12" s="224">
        <f>BD12*$AU$8</f>
        <v>57298.76000000000204</v>
      </c>
      <c r="AV12" s="145">
        <f>AN12</f>
        <v>0</v>
      </c>
      <c r="AW12" s="177">
        <f>SUM(AS12:AV12)</f>
        <v>644038.062400000053458</v>
      </c>
      <c r="AX12" s="225">
        <f>AR12-AW12</f>
        <v>-229195.040000000037253</v>
      </c>
      <c r="AY12" s="149"/>
      <c r="AZ12" s="175">
        <f>AU12+AJ12</f>
        <v>286493.79999999998836</v>
      </c>
      <c r="BA12" s="147">
        <f>AK12+AQ12-AJ12</f>
        <v>529440.54240000003483</v>
      </c>
      <c r="BB12" s="149"/>
      <c r="BC12" s="153">
        <v>5729876</v>
      </c>
      <c r="BD12" s="153">
        <v>5729876</v>
      </c>
      <c r="BE12" s="149"/>
      <c r="BF12" s="245"/>
      <c r="BI12" s="118"/>
    </row>
    <row r="13" spans="1:255" customHeight="1" ht="24">
      <c r="A13" s="138">
        <f>A12+1</f>
        <v>4</v>
      </c>
      <c r="B13" s="139"/>
      <c r="C13" s="150"/>
      <c r="D13" s="139"/>
      <c r="E13" s="139"/>
      <c r="F13" s="151"/>
      <c r="G13" s="151"/>
      <c r="H13" s="140"/>
      <c r="I13" s="178"/>
      <c r="J13" s="178"/>
      <c r="K13" s="178"/>
      <c r="L13" s="180"/>
      <c r="M13" s="180"/>
      <c r="N13" s="180"/>
      <c r="O13" s="180"/>
      <c r="P13" s="180"/>
      <c r="Q13" s="153"/>
      <c r="R13" s="139"/>
      <c r="S13" s="181"/>
      <c r="T13" s="146"/>
      <c r="U13" s="153">
        <f>X13*0.1</f>
        <v>0</v>
      </c>
      <c r="V13" s="154">
        <f>O13</f>
        <v>0</v>
      </c>
      <c r="W13" s="182"/>
      <c r="X13" s="153"/>
      <c r="Y13" s="144">
        <f>+P13*Q13</f>
        <v>0</v>
      </c>
      <c r="Z13" s="144">
        <f>+U13*T13</f>
        <v>0</v>
      </c>
      <c r="AA13" s="144"/>
      <c r="AB13" s="144"/>
      <c r="AC13" s="144"/>
      <c r="AD13" s="144"/>
      <c r="AE13" s="144"/>
      <c r="AF13" s="144">
        <f>S13*R13</f>
        <v>0</v>
      </c>
      <c r="AG13" s="145">
        <f>SUM(X13:AF13)</f>
        <v>0</v>
      </c>
      <c r="AH13" s="144">
        <f>$AH$8*BC13</f>
        <v>326602.9320000000298</v>
      </c>
      <c r="AI13" s="144">
        <f>$AI$8*BC13</f>
        <v>30941.33040000000256</v>
      </c>
      <c r="AJ13" s="144">
        <f>$AJ$8*BD13</f>
        <v>229195.040000000008149</v>
      </c>
      <c r="AK13" s="145">
        <f>SUM(AH13:AJ13)</f>
        <v>586739.30240000004414</v>
      </c>
      <c r="AL13" s="145"/>
      <c r="AM13" s="145"/>
      <c r="AN13" s="145">
        <f>BF13</f>
        <v>0</v>
      </c>
      <c r="AO13" s="177">
        <f>AG13+AK13+AN13+AL13+AM13</f>
        <v>586739.30240000004414</v>
      </c>
      <c r="AP13" s="145">
        <f>(V13*W13)+((50%*J13*Q13)+(K13*Q13))</f>
        <v>0</v>
      </c>
      <c r="AQ13" s="145">
        <f>BC13*$AQ$8</f>
        <v>171896.27999999999884</v>
      </c>
      <c r="AR13" s="177">
        <f>AO13-AP13-AQ13</f>
        <v>414843.022400000016205</v>
      </c>
      <c r="AS13" s="223"/>
      <c r="AT13" s="145">
        <f>AK13</f>
        <v>586739.30240000004414</v>
      </c>
      <c r="AU13" s="224">
        <f>BD13*$AU$8</f>
        <v>57298.76000000000204</v>
      </c>
      <c r="AV13" s="145">
        <f>AN13</f>
        <v>0</v>
      </c>
      <c r="AW13" s="177">
        <f>SUM(AS13:AV13)</f>
        <v>644038.062400000053458</v>
      </c>
      <c r="AX13" s="225">
        <f>AR13-AW13</f>
        <v>-229195.040000000037253</v>
      </c>
      <c r="AY13" s="149"/>
      <c r="AZ13" s="175">
        <f>AU13+AJ13</f>
        <v>286493.79999999998836</v>
      </c>
      <c r="BA13" s="147">
        <f>AK13+AQ13-AJ13</f>
        <v>529440.54240000003483</v>
      </c>
      <c r="BB13" s="149"/>
      <c r="BC13" s="153">
        <v>5729876</v>
      </c>
      <c r="BD13" s="153">
        <v>5729876</v>
      </c>
      <c r="BE13" s="149"/>
      <c r="BF13" s="276"/>
      <c r="BG13" s="280"/>
      <c r="BH13" s="269"/>
      <c r="BI13" s="118"/>
    </row>
    <row r="14" spans="1:255" customHeight="1" ht="23.25" s="170" customFormat="1">
      <c r="A14" s="165"/>
      <c r="B14" s="166"/>
      <c r="C14" s="167"/>
      <c r="D14" s="168"/>
      <c r="E14" s="167"/>
      <c r="F14" s="169"/>
      <c r="G14" s="169"/>
      <c r="H14" s="168"/>
      <c r="I14" s="183"/>
      <c r="J14" s="184"/>
      <c r="K14" s="167"/>
      <c r="L14" s="167"/>
      <c r="M14" s="167"/>
      <c r="N14" s="167"/>
      <c r="O14" s="167"/>
      <c r="P14" s="167"/>
      <c r="Q14" s="171"/>
      <c r="R14" s="167"/>
      <c r="S14" s="185"/>
      <c r="T14" s="172"/>
      <c r="U14" s="171"/>
      <c r="V14" s="173"/>
      <c r="W14" s="186"/>
      <c r="X14" s="171">
        <f>SUM(X9:X13)</f>
        <v>0</v>
      </c>
      <c r="Y14" s="171">
        <f>SUM(Y9:Y13)</f>
        <v>0</v>
      </c>
      <c r="Z14" s="171">
        <f>SUM(Z9:Z13)</f>
        <v>0</v>
      </c>
      <c r="AA14" s="171">
        <f>SUM(AA9:AA13)</f>
        <v>2000000</v>
      </c>
      <c r="AB14" s="171">
        <f>SUM(AB9:AB13)</f>
        <v>200000</v>
      </c>
      <c r="AC14" s="171">
        <f>SUM(AC9:AC13)</f>
        <v>0</v>
      </c>
      <c r="AD14" s="171">
        <f>SUM(AD9:AD13)</f>
        <v>2000000</v>
      </c>
      <c r="AE14" s="171">
        <f>SUM(AE9:AE13)</f>
        <v>0</v>
      </c>
      <c r="AF14" s="171">
        <f>SUM(AF9:AF13)</f>
        <v>0</v>
      </c>
      <c r="AG14" s="171">
        <f>SUM(AG9:AG13)</f>
        <v>4200000</v>
      </c>
      <c r="AH14" s="171">
        <f>SUM(AH9:AH13)</f>
        <v>1364558.79600000008941</v>
      </c>
      <c r="AI14" s="171">
        <f>SUM(AI9:AI13)</f>
        <v>129273.99120000001858</v>
      </c>
      <c r="AJ14" s="171">
        <f>SUM(AJ9:AJ13)</f>
        <v>957585.12000000011176</v>
      </c>
      <c r="AK14" s="171">
        <f>SUM(AK9:AK13)</f>
        <v>2451417.90719999978319</v>
      </c>
      <c r="AL14" s="171"/>
      <c r="AM14" s="171">
        <f>SUM(AM9:AM13)</f>
        <v>0</v>
      </c>
      <c r="AN14" s="171">
        <f>SUM(AN9:AN13)</f>
        <v>0</v>
      </c>
      <c r="AO14" s="171">
        <f>SUM(AO9:AO13)</f>
        <v>6651417.90720000118017</v>
      </c>
      <c r="AP14" s="171">
        <f>SUM(AP9:AP13)</f>
        <v>0</v>
      </c>
      <c r="AQ14" s="171">
        <f>SUM(AQ9:AQ13)</f>
        <v>718188.84000000008382</v>
      </c>
      <c r="AR14" s="171">
        <f>SUM(AR9:AR13)</f>
        <v>5933229.067200000397861</v>
      </c>
      <c r="AS14" s="244">
        <f>SUM(AS9:AS13)</f>
        <v>0</v>
      </c>
      <c r="AT14" s="171">
        <f>SUM(AT9:AT13)</f>
        <v>2451417.90719999978319</v>
      </c>
      <c r="AU14" s="171">
        <f>SUM(AU9:AU13)</f>
        <v>239396.28000000002794</v>
      </c>
      <c r="AV14" s="171">
        <f>SUM(AV9:AV13)</f>
        <v>0</v>
      </c>
      <c r="AW14" s="171">
        <f>SUM(AW9:AW13)</f>
        <v>2690814.18720000050962</v>
      </c>
      <c r="AX14" s="171">
        <f>SUM(AX9:AX13)</f>
        <v>3242414.87999999988824</v>
      </c>
      <c r="AY14" s="171">
        <f>SUM(AY9:AY13)</f>
        <v>0</v>
      </c>
      <c r="AZ14" s="171">
        <f>SUM(AZ9:AZ13)</f>
        <v>1196981.4000000001397</v>
      </c>
      <c r="BA14" s="171">
        <f>SUM(BA9:BA13)</f>
        <v>2212021.62720000045374</v>
      </c>
      <c r="BB14" s="171">
        <f>SUM(BB9:BB13)</f>
        <v>0</v>
      </c>
      <c r="BC14" s="171">
        <f>SUM(BC9:BC13)</f>
        <v>23939628</v>
      </c>
      <c r="BD14" s="171">
        <f>SUM(BD9:BD13)</f>
        <v>23939628</v>
      </c>
      <c r="BE14" s="171">
        <f>SUM(BE9:BE13)</f>
        <v>0</v>
      </c>
      <c r="BF14" s="277">
        <f>SUM(BF9:BF13)</f>
        <v>0</v>
      </c>
      <c r="BG14" s="283"/>
      <c r="BH14" s="281"/>
    </row>
    <row r="15" spans="1:255" customHeight="1" ht="24">
      <c r="A15" s="138">
        <f>A13+1</f>
        <v>5</v>
      </c>
      <c r="B15" s="139"/>
      <c r="C15" s="139"/>
      <c r="D15" s="139"/>
      <c r="E15" s="139"/>
      <c r="F15" s="139"/>
      <c r="G15" s="139"/>
      <c r="H15" s="140"/>
      <c r="I15" s="187"/>
      <c r="J15" s="187"/>
      <c r="K15" s="187"/>
      <c r="L15" s="187"/>
      <c r="M15" s="187"/>
      <c r="N15" s="187"/>
      <c r="O15" s="187"/>
      <c r="P15" s="187"/>
      <c r="Q15" s="142"/>
      <c r="R15" s="142"/>
      <c r="S15" s="142">
        <f>1000000/2</f>
        <v>500000</v>
      </c>
      <c r="T15" s="142"/>
      <c r="U15" s="142"/>
      <c r="V15" s="143"/>
      <c r="W15" s="176"/>
      <c r="X15" s="153"/>
      <c r="Y15" s="144">
        <f>+P15*Q15</f>
        <v>0</v>
      </c>
      <c r="Z15" s="144">
        <f>+U15*T15</f>
        <v>0</v>
      </c>
      <c r="AA15" s="144">
        <v>2000000</v>
      </c>
      <c r="AB15" s="144"/>
      <c r="AC15" s="144"/>
      <c r="AD15" s="144">
        <f>4000000</f>
        <v>4000000</v>
      </c>
      <c r="AE15" s="144"/>
      <c r="AF15" s="144">
        <f>S15*R15</f>
        <v>0</v>
      </c>
      <c r="AG15" s="145">
        <f>SUM(X15:AF15)</f>
        <v>6000000</v>
      </c>
      <c r="AH15" s="144">
        <f>$AH$8*BC15</f>
        <v>0</v>
      </c>
      <c r="AI15" s="144">
        <f>$AI$8*BC15</f>
        <v>0</v>
      </c>
      <c r="AJ15" s="144">
        <f>$AJ$8*BD15</f>
        <v>0</v>
      </c>
      <c r="AK15" s="145">
        <f>SUM(AH15:AJ15)</f>
        <v>0</v>
      </c>
      <c r="AL15" s="145"/>
      <c r="AM15" s="145"/>
      <c r="AN15" s="145">
        <f>BF15</f>
        <v>0</v>
      </c>
      <c r="AO15" s="177">
        <f>AG15+AK15+AN15+AL15+AM15</f>
        <v>6000000</v>
      </c>
      <c r="AP15" s="145">
        <f>(V15*W15)+((50%*J15*Q15)+(K15*Q15))</f>
        <v>0</v>
      </c>
      <c r="AQ15" s="145">
        <f>BC15*$AQ$8</f>
        <v>0</v>
      </c>
      <c r="AR15" s="177">
        <f>AO15-AP15-AQ15</f>
        <v>6000000</v>
      </c>
      <c r="AS15" s="223"/>
      <c r="AT15" s="145">
        <f>AK15</f>
        <v>0</v>
      </c>
      <c r="AU15" s="224">
        <f>BD15*$AU$8</f>
        <v>0</v>
      </c>
      <c r="AV15" s="145">
        <f>AN15</f>
        <v>0</v>
      </c>
      <c r="AW15" s="177">
        <f>SUM(AS15:AV15)</f>
        <v>0</v>
      </c>
      <c r="AX15" s="225">
        <f>AR15-AW15</f>
        <v>6000000</v>
      </c>
      <c r="AY15" s="148"/>
      <c r="AZ15" s="175">
        <f>AU15+AJ15</f>
        <v>0</v>
      </c>
      <c r="BA15" s="147">
        <f>AK15+AQ15-AJ15</f>
        <v>0</v>
      </c>
      <c r="BB15" s="148"/>
      <c r="BC15" s="174"/>
      <c r="BD15" s="174"/>
      <c r="BE15" s="148"/>
      <c r="BF15" s="276"/>
      <c r="BG15" s="280"/>
      <c r="BH15" s="269"/>
      <c r="BI15" s="118"/>
    </row>
    <row r="16" spans="1:255" customHeight="1" ht="24">
      <c r="A16" s="138">
        <f>A15+1</f>
        <v>6</v>
      </c>
      <c r="B16" s="139"/>
      <c r="C16" s="139"/>
      <c r="D16" s="139"/>
      <c r="E16" s="139"/>
      <c r="F16" s="139"/>
      <c r="G16" s="139"/>
      <c r="H16" s="140"/>
      <c r="I16" s="187"/>
      <c r="J16" s="187"/>
      <c r="K16" s="187"/>
      <c r="L16" s="187"/>
      <c r="M16" s="187"/>
      <c r="N16" s="187"/>
      <c r="O16" s="187"/>
      <c r="P16" s="187"/>
      <c r="Q16" s="142"/>
      <c r="R16" s="142"/>
      <c r="S16" s="142">
        <f>20600000/2</f>
        <v>10300000</v>
      </c>
      <c r="T16" s="142"/>
      <c r="U16" s="142"/>
      <c r="V16" s="143"/>
      <c r="W16" s="176"/>
      <c r="X16" s="153"/>
      <c r="Y16" s="144">
        <f>+P16*Q16</f>
        <v>0</v>
      </c>
      <c r="Z16" s="144">
        <f>+U16*T16</f>
        <v>0</v>
      </c>
      <c r="AA16" s="144">
        <v>1000000</v>
      </c>
      <c r="AB16" s="144"/>
      <c r="AC16" s="144"/>
      <c r="AD16" s="144">
        <v>1000000</v>
      </c>
      <c r="AE16" s="144"/>
      <c r="AF16" s="144">
        <f>S16*R16</f>
        <v>0</v>
      </c>
      <c r="AG16" s="145">
        <f>SUM(X16:AF16)</f>
        <v>2000000</v>
      </c>
      <c r="AH16" s="144">
        <f>$AH$8*BC16</f>
        <v>326602.9320000000298</v>
      </c>
      <c r="AI16" s="144">
        <f>$AI$8*BC16</f>
        <v>30941.33040000000256</v>
      </c>
      <c r="AJ16" s="144">
        <f>$AJ$8*BD16</f>
        <v>229195.040000000008149</v>
      </c>
      <c r="AK16" s="145">
        <f>SUM(AH16:AJ16)</f>
        <v>586739.30240000004414</v>
      </c>
      <c r="AL16" s="145"/>
      <c r="AM16" s="145"/>
      <c r="AN16" s="145">
        <f>BF16</f>
        <v>0</v>
      </c>
      <c r="AO16" s="177">
        <f>AG16+AK16+AN16+AL16+AM16</f>
        <v>2586739.30239999992773</v>
      </c>
      <c r="AP16" s="145">
        <f>(V16*W16)+((50%*J16*Q16)+(K16*Q16))</f>
        <v>0</v>
      </c>
      <c r="AQ16" s="145">
        <f>BC16*$AQ$8</f>
        <v>171896.27999999999884</v>
      </c>
      <c r="AR16" s="177">
        <f>AO16-AP16-AQ16</f>
        <v>2414843.02240000013262</v>
      </c>
      <c r="AS16" s="223"/>
      <c r="AT16" s="145">
        <f>AK16</f>
        <v>586739.30240000004414</v>
      </c>
      <c r="AU16" s="224">
        <f>BD16*$AU$8</f>
        <v>57298.76000000000204</v>
      </c>
      <c r="AV16" s="145">
        <f>AN16</f>
        <v>0</v>
      </c>
      <c r="AW16" s="177">
        <f>SUM(AS16:AV16)</f>
        <v>644038.062400000053458</v>
      </c>
      <c r="AX16" s="225">
        <f>AR16-AW16</f>
        <v>1770804.95999999996275</v>
      </c>
      <c r="AY16" s="148"/>
      <c r="AZ16" s="175">
        <f>AU16+AJ16</f>
        <v>286493.79999999998836</v>
      </c>
      <c r="BA16" s="147">
        <f>AK16+AQ16-AJ16</f>
        <v>529440.54240000003483</v>
      </c>
      <c r="BB16" s="148"/>
      <c r="BC16" s="153">
        <v>5729876</v>
      </c>
      <c r="BD16" s="153">
        <v>5729876</v>
      </c>
      <c r="BE16" s="148"/>
      <c r="BF16" s="276"/>
      <c r="BG16" s="280"/>
      <c r="BH16" s="269"/>
      <c r="BI16" s="118"/>
    </row>
    <row r="17" spans="1:255" customHeight="1" ht="24">
      <c r="A17" s="138">
        <f>A16+1</f>
        <v>7</v>
      </c>
      <c r="B17" s="139"/>
      <c r="C17" s="150"/>
      <c r="D17" s="139"/>
      <c r="E17" s="139"/>
      <c r="F17" s="151"/>
      <c r="G17" s="151"/>
      <c r="H17" s="140"/>
      <c r="I17" s="178"/>
      <c r="J17" s="179"/>
      <c r="K17" s="178"/>
      <c r="L17" s="178"/>
      <c r="M17" s="180"/>
      <c r="N17" s="180"/>
      <c r="O17" s="180"/>
      <c r="P17" s="180"/>
      <c r="Q17" s="152"/>
      <c r="R17" s="139"/>
      <c r="S17" s="181">
        <f>1110000+1486000</f>
        <v>2596000</v>
      </c>
      <c r="T17" s="146"/>
      <c r="U17" s="153">
        <f>X17*0.1</f>
        <v>0</v>
      </c>
      <c r="V17" s="154">
        <f>O17</f>
        <v>0</v>
      </c>
      <c r="W17" s="182"/>
      <c r="X17" s="153"/>
      <c r="Y17" s="144">
        <f>+P17*Q17</f>
        <v>0</v>
      </c>
      <c r="Z17" s="144">
        <f>+U17*T17</f>
        <v>0</v>
      </c>
      <c r="AA17" s="144"/>
      <c r="AB17" s="144"/>
      <c r="AC17" s="144"/>
      <c r="AD17" s="144"/>
      <c r="AE17" s="144"/>
      <c r="AF17" s="144">
        <f>S17*R17</f>
        <v>0</v>
      </c>
      <c r="AG17" s="145">
        <f>SUM(X17:AF17)</f>
        <v>0</v>
      </c>
      <c r="AH17" s="144">
        <f>$AH$8*BC17</f>
        <v>326602.9320000000298</v>
      </c>
      <c r="AI17" s="144">
        <f>$AI$8*BC17</f>
        <v>30941.33040000000256</v>
      </c>
      <c r="AJ17" s="144">
        <f>$AJ$8*BD17</f>
        <v>229195.040000000008149</v>
      </c>
      <c r="AK17" s="145">
        <f>SUM(AH17:AJ17)</f>
        <v>586739.30240000004414</v>
      </c>
      <c r="AL17" s="145"/>
      <c r="AM17" s="145"/>
      <c r="AN17" s="145">
        <f>BF17</f>
        <v>0</v>
      </c>
      <c r="AO17" s="177">
        <f>AG17+AK17+AN17+AL17+AM17</f>
        <v>586739.30240000004414</v>
      </c>
      <c r="AP17" s="145">
        <f>(V17*W17)+((50%*J17*Q17)+(K17*Q17))</f>
        <v>0</v>
      </c>
      <c r="AQ17" s="145">
        <f>BC17*$AQ$8</f>
        <v>171896.27999999999884</v>
      </c>
      <c r="AR17" s="177">
        <f>AO17-AP17-AQ17</f>
        <v>414843.022400000016205</v>
      </c>
      <c r="AS17" s="223"/>
      <c r="AT17" s="145">
        <f>AK17</f>
        <v>586739.30240000004414</v>
      </c>
      <c r="AU17" s="224">
        <f>BD17*$AU$8</f>
        <v>57298.76000000000204</v>
      </c>
      <c r="AV17" s="145">
        <f>AN17</f>
        <v>0</v>
      </c>
      <c r="AW17" s="177">
        <f>SUM(AS17:AV17)</f>
        <v>644038.062400000053458</v>
      </c>
      <c r="AX17" s="225">
        <f>AR17-AW17</f>
        <v>-229195.040000000037253</v>
      </c>
      <c r="AY17" s="149"/>
      <c r="AZ17" s="175">
        <f>AU17+AJ17</f>
        <v>286493.79999999998836</v>
      </c>
      <c r="BA17" s="147">
        <f>AK17+AQ17-AJ17</f>
        <v>529440.54240000003483</v>
      </c>
      <c r="BB17" s="149"/>
      <c r="BC17" s="153">
        <v>5729876</v>
      </c>
      <c r="BD17" s="153">
        <v>5729876</v>
      </c>
      <c r="BE17" s="149"/>
      <c r="BF17" s="276"/>
      <c r="BG17" s="280"/>
      <c r="BH17" s="269"/>
      <c r="BI17" s="118"/>
    </row>
    <row r="18" spans="1:255" customHeight="1" ht="24">
      <c r="A18" s="138">
        <f>A17+1</f>
        <v>8</v>
      </c>
      <c r="B18" s="139"/>
      <c r="C18" s="150"/>
      <c r="D18" s="139"/>
      <c r="E18" s="139"/>
      <c r="F18" s="151"/>
      <c r="G18" s="151"/>
      <c r="H18" s="140"/>
      <c r="I18" s="178"/>
      <c r="J18" s="179"/>
      <c r="K18" s="178"/>
      <c r="L18" s="178"/>
      <c r="M18" s="180"/>
      <c r="N18" s="180"/>
      <c r="O18" s="180"/>
      <c r="P18" s="180"/>
      <c r="Q18" s="152"/>
      <c r="R18" s="139"/>
      <c r="S18" s="181">
        <f>1090000+1162000</f>
        <v>2252000</v>
      </c>
      <c r="T18" s="146"/>
      <c r="U18" s="153">
        <f>X18*0.1</f>
        <v>0</v>
      </c>
      <c r="V18" s="154">
        <f>O18</f>
        <v>0</v>
      </c>
      <c r="W18" s="182"/>
      <c r="X18" s="153"/>
      <c r="Y18" s="144">
        <f>+P18*Q18</f>
        <v>0</v>
      </c>
      <c r="Z18" s="144">
        <f>+U18*T18</f>
        <v>0</v>
      </c>
      <c r="AA18" s="144"/>
      <c r="AB18" s="144">
        <v>100000</v>
      </c>
      <c r="AC18" s="144"/>
      <c r="AD18" s="144"/>
      <c r="AE18" s="144"/>
      <c r="AF18" s="144">
        <f>S18*R18</f>
        <v>0</v>
      </c>
      <c r="AG18" s="145">
        <f>SUM(X18:AF18)</f>
        <v>100000</v>
      </c>
      <c r="AH18" s="144">
        <f>$AH$8*BC18</f>
        <v>326602.9320000000298</v>
      </c>
      <c r="AI18" s="144">
        <f>$AI$8*BC18</f>
        <v>30941.33040000000256</v>
      </c>
      <c r="AJ18" s="144">
        <f>$AJ$8*BD18</f>
        <v>229195.040000000008149</v>
      </c>
      <c r="AK18" s="145">
        <f>SUM(AH18:AJ18)</f>
        <v>586739.30240000004414</v>
      </c>
      <c r="AL18" s="145"/>
      <c r="AM18" s="145"/>
      <c r="AN18" s="145">
        <f>BF18</f>
        <v>0</v>
      </c>
      <c r="AO18" s="177">
        <f>AG18+AK18+AN18+AL18+AM18</f>
        <v>686739.30240000004414</v>
      </c>
      <c r="AP18" s="145">
        <f>(V18*W18)+((50%*J18*Q18)+(K18*Q18))</f>
        <v>0</v>
      </c>
      <c r="AQ18" s="145">
        <f>BC18*$AQ$8</f>
        <v>171896.27999999999884</v>
      </c>
      <c r="AR18" s="177">
        <f>AO18-AP18-AQ18</f>
        <v>514843.022400000016205</v>
      </c>
      <c r="AS18" s="223"/>
      <c r="AT18" s="145">
        <f>AK18</f>
        <v>586739.30240000004414</v>
      </c>
      <c r="AU18" s="224">
        <f>BD18*$AU$8</f>
        <v>57298.76000000000204</v>
      </c>
      <c r="AV18" s="145">
        <f>AN18</f>
        <v>0</v>
      </c>
      <c r="AW18" s="177">
        <f>SUM(AS18:AV18)</f>
        <v>644038.062400000053458</v>
      </c>
      <c r="AX18" s="225">
        <f>AR18-AW18</f>
        <v>-129195.040000000037253</v>
      </c>
      <c r="AY18" s="149"/>
      <c r="AZ18" s="175">
        <f>AU18+AJ18</f>
        <v>286493.79999999998836</v>
      </c>
      <c r="BA18" s="147">
        <f>AK18+AQ18-AJ18</f>
        <v>529440.54240000003483</v>
      </c>
      <c r="BB18" s="149"/>
      <c r="BC18" s="153">
        <v>5729876</v>
      </c>
      <c r="BD18" s="153">
        <v>5729876</v>
      </c>
      <c r="BE18" s="149"/>
      <c r="BF18" s="276"/>
      <c r="BG18" s="280"/>
      <c r="BH18" s="269"/>
      <c r="BI18" s="118"/>
    </row>
    <row r="19" spans="1:255" customHeight="1" ht="24">
      <c r="A19" s="138">
        <f>A18+1</f>
        <v>9</v>
      </c>
      <c r="B19" s="139"/>
      <c r="C19" s="150"/>
      <c r="D19" s="139"/>
      <c r="E19" s="139"/>
      <c r="F19" s="151"/>
      <c r="G19" s="151"/>
      <c r="H19" s="140"/>
      <c r="I19" s="178"/>
      <c r="J19" s="179"/>
      <c r="K19" s="178"/>
      <c r="L19" s="178"/>
      <c r="M19" s="180"/>
      <c r="N19" s="180"/>
      <c r="O19" s="180"/>
      <c r="P19" s="180"/>
      <c r="Q19" s="152"/>
      <c r="R19" s="139"/>
      <c r="S19" s="181">
        <f>1005000+1464000</f>
        <v>2469000</v>
      </c>
      <c r="T19" s="146"/>
      <c r="U19" s="153">
        <f>X19*0.1</f>
        <v>0</v>
      </c>
      <c r="V19" s="154">
        <f>O19</f>
        <v>0</v>
      </c>
      <c r="W19" s="182"/>
      <c r="X19" s="153"/>
      <c r="Y19" s="144">
        <f>+P19*Q19</f>
        <v>0</v>
      </c>
      <c r="Z19" s="144">
        <f>+U19*T19</f>
        <v>0</v>
      </c>
      <c r="AA19" s="144"/>
      <c r="AB19" s="144">
        <v>100000</v>
      </c>
      <c r="AC19" s="144"/>
      <c r="AD19" s="144"/>
      <c r="AE19" s="144"/>
      <c r="AF19" s="144">
        <f>S19*R19</f>
        <v>0</v>
      </c>
      <c r="AG19" s="145">
        <f>SUM(X19:AF19)</f>
        <v>100000</v>
      </c>
      <c r="AH19" s="144">
        <f>$AH$8*BC19</f>
        <v>326602.9320000000298</v>
      </c>
      <c r="AI19" s="144">
        <f>$AI$8*BC19</f>
        <v>30941.33040000000256</v>
      </c>
      <c r="AJ19" s="144">
        <f>$AJ$8*BD19</f>
        <v>229195.040000000008149</v>
      </c>
      <c r="AK19" s="145">
        <f>SUM(AH19:AJ19)</f>
        <v>586739.30240000004414</v>
      </c>
      <c r="AL19" s="145"/>
      <c r="AM19" s="145"/>
      <c r="AN19" s="145">
        <f>BF19</f>
        <v>0</v>
      </c>
      <c r="AO19" s="177">
        <f>AG19+AK19+AN19+AL19+AM19</f>
        <v>686739.30240000004414</v>
      </c>
      <c r="AP19" s="145">
        <f>(V19*W19)+((50%*J19*Q19)+(K19*Q19))</f>
        <v>0</v>
      </c>
      <c r="AQ19" s="145">
        <f>BC19*$AQ$8</f>
        <v>171896.27999999999884</v>
      </c>
      <c r="AR19" s="177">
        <f>AO19-AP19-AQ19</f>
        <v>514843.022400000016205</v>
      </c>
      <c r="AS19" s="223">
        <v>500000</v>
      </c>
      <c r="AT19" s="145">
        <f>AK19</f>
        <v>586739.30240000004414</v>
      </c>
      <c r="AU19" s="224">
        <f>BD19*$AU$8</f>
        <v>57298.76000000000204</v>
      </c>
      <c r="AV19" s="145">
        <f>AN19</f>
        <v>0</v>
      </c>
      <c r="AW19" s="177">
        <f>SUM(AS19:AV19)</f>
        <v>1144038.062399999937043</v>
      </c>
      <c r="AX19" s="225">
        <f>AR19-AW19</f>
        <v>-629195.039999999920838</v>
      </c>
      <c r="AY19" s="149"/>
      <c r="AZ19" s="175">
        <f>AU19+AJ19</f>
        <v>286493.79999999998836</v>
      </c>
      <c r="BA19" s="147">
        <f>AK19+AQ19-AJ19</f>
        <v>529440.54240000003483</v>
      </c>
      <c r="BB19" s="149"/>
      <c r="BC19" s="153">
        <v>5729876</v>
      </c>
      <c r="BD19" s="153">
        <v>5729876</v>
      </c>
      <c r="BE19" s="149"/>
      <c r="BF19" s="276"/>
      <c r="BG19" s="280"/>
      <c r="BH19" s="269"/>
      <c r="BI19" s="118"/>
    </row>
    <row r="20" spans="1:255" customHeight="1" ht="19">
      <c r="A20" s="202"/>
      <c r="B20" s="203"/>
      <c r="C20" s="204"/>
      <c r="D20" s="204"/>
      <c r="E20" s="204"/>
      <c r="F20" s="205"/>
      <c r="G20" s="205"/>
      <c r="H20" s="206"/>
      <c r="I20" s="206"/>
      <c r="J20" s="207"/>
      <c r="K20" s="207"/>
      <c r="L20" s="207"/>
      <c r="M20" s="207"/>
      <c r="N20" s="207"/>
      <c r="O20" s="207"/>
      <c r="P20" s="207"/>
      <c r="Q20" s="208"/>
      <c r="R20" s="207"/>
      <c r="S20" s="208"/>
      <c r="T20" s="209"/>
      <c r="U20" s="208"/>
      <c r="V20" s="210"/>
      <c r="W20" s="211"/>
      <c r="X20" s="208">
        <f>SUM(X15:X19)</f>
        <v>0</v>
      </c>
      <c r="Y20" s="208">
        <f>SUM(Y15:Y19)</f>
        <v>0</v>
      </c>
      <c r="Z20" s="208">
        <f>SUM(Z15:Z19)</f>
        <v>0</v>
      </c>
      <c r="AA20" s="208">
        <f>SUM(AA15:AA19)</f>
        <v>3000000</v>
      </c>
      <c r="AB20" s="208">
        <f>SUM(AB15:AB19)</f>
        <v>200000</v>
      </c>
      <c r="AC20" s="208">
        <f>SUM(AC15:AC19)</f>
        <v>0</v>
      </c>
      <c r="AD20" s="208">
        <f>SUM(AD15:AD19)</f>
        <v>5000000</v>
      </c>
      <c r="AE20" s="208">
        <f>SUM(AE15:AE19)</f>
        <v>0</v>
      </c>
      <c r="AF20" s="208">
        <f>SUM(AF15:AF19)</f>
        <v>0</v>
      </c>
      <c r="AG20" s="208">
        <f>SUM(AG15:AG19)</f>
        <v>8200000</v>
      </c>
      <c r="AH20" s="208">
        <f>SUM(AH15:AH19)</f>
        <v>1306411.72800000011921</v>
      </c>
      <c r="AI20" s="208">
        <f>SUM(AI15:AI19)</f>
        <v>123765.32160000001022</v>
      </c>
      <c r="AJ20" s="208">
        <f>SUM(AJ15:AJ19)</f>
        <v>916780.1600000000326</v>
      </c>
      <c r="AK20" s="208">
        <f>SUM(AK15:AK19)</f>
        <v>2346957.20960000017658</v>
      </c>
      <c r="AL20" s="208">
        <f>SUM(AL15:AL19)</f>
        <v>0</v>
      </c>
      <c r="AM20" s="208">
        <f>SUM(AM15:AM19)</f>
        <v>0</v>
      </c>
      <c r="AN20" s="208">
        <f>SUM(AN15:AN19)</f>
        <v>0</v>
      </c>
      <c r="AO20" s="208">
        <f>SUM(AO15:AO19)</f>
        <v>10546957.20960000157356</v>
      </c>
      <c r="AP20" s="208">
        <f>SUM(AP15:AP19)</f>
        <v>0</v>
      </c>
      <c r="AQ20" s="208">
        <f>SUM(AQ15:AQ19)</f>
        <v>687585.11999999999534</v>
      </c>
      <c r="AR20" s="208">
        <f>SUM(AR15:AR19)</f>
        <v>9859372.089599996805191</v>
      </c>
      <c r="AS20" s="208">
        <f>SUM(AS15:AS19)</f>
        <v>500000</v>
      </c>
      <c r="AT20" s="208">
        <f>SUM(AT15:AT19)</f>
        <v>2346957.20960000017658</v>
      </c>
      <c r="AU20" s="208">
        <f>SUM(AU15:AU19)</f>
        <v>229195.040000000008149</v>
      </c>
      <c r="AV20" s="208">
        <f>SUM(AV15:AV19)</f>
        <v>0</v>
      </c>
      <c r="AW20" s="208">
        <f>SUM(AW15:AW19)</f>
        <v>3076152.24959999974817</v>
      </c>
      <c r="AX20" s="208">
        <f>SUM(AX15:AX19)</f>
        <v>6783219.83999999985099</v>
      </c>
      <c r="AY20" s="208">
        <f>SUM(AY15:AY19)</f>
        <v>0</v>
      </c>
      <c r="AZ20" s="208">
        <f>SUM(AZ15:AZ19)</f>
        <v>1145975.19999999995343</v>
      </c>
      <c r="BA20" s="208">
        <f>SUM(BA15:BA19)</f>
        <v>2117762.16960000013933</v>
      </c>
      <c r="BB20" s="208">
        <f>SUM(BB15:BB19)</f>
        <v>0</v>
      </c>
      <c r="BC20" s="208">
        <f>SUM(BC15:BC19)</f>
        <v>22919504</v>
      </c>
      <c r="BD20" s="208">
        <f>SUM(BD15:BD19)</f>
        <v>22919504</v>
      </c>
      <c r="BE20" s="208">
        <f>SUM(BE15:BE19)</f>
        <v>0</v>
      </c>
      <c r="BF20" s="278">
        <f>SUM(BF15:BF19)</f>
        <v>0</v>
      </c>
      <c r="BG20" s="283"/>
      <c r="BH20" s="281"/>
      <c r="BI20" s="170"/>
      <c r="BJ20" s="170"/>
      <c r="BK20" s="170"/>
      <c r="BL20" s="170"/>
      <c r="BM20" s="170"/>
      <c r="BN20" s="170"/>
      <c r="BO20" s="170"/>
      <c r="BP20" s="170"/>
      <c r="BQ20" s="170"/>
      <c r="BR20" s="170"/>
      <c r="BS20" s="170"/>
      <c r="BT20" s="170"/>
      <c r="BU20" s="170"/>
      <c r="BV20" s="170"/>
      <c r="BW20" s="170"/>
      <c r="BX20" s="170"/>
      <c r="BY20" s="170"/>
      <c r="BZ20" s="170"/>
      <c r="CA20" s="170"/>
      <c r="CB20" s="170"/>
      <c r="CC20" s="170"/>
      <c r="CD20" s="170"/>
      <c r="CE20" s="170"/>
      <c r="CF20" s="170"/>
      <c r="CG20" s="170"/>
      <c r="CH20" s="170"/>
      <c r="CI20" s="170"/>
      <c r="CJ20" s="170"/>
      <c r="CK20" s="170"/>
      <c r="CL20" s="170"/>
      <c r="CM20" s="170"/>
      <c r="CN20" s="170"/>
      <c r="CO20" s="170"/>
      <c r="CP20" s="170"/>
      <c r="CQ20" s="170"/>
      <c r="CR20" s="170"/>
      <c r="CS20" s="170"/>
      <c r="CT20" s="170"/>
      <c r="CU20" s="170"/>
      <c r="CV20" s="170"/>
      <c r="CW20" s="170"/>
      <c r="CX20" s="170"/>
      <c r="CY20" s="170"/>
      <c r="CZ20" s="170"/>
      <c r="DA20" s="170"/>
      <c r="DB20" s="170"/>
      <c r="DC20" s="170"/>
      <c r="DD20" s="170"/>
      <c r="DE20" s="170"/>
      <c r="DF20" s="170"/>
      <c r="DG20" s="170"/>
      <c r="DH20" s="170"/>
      <c r="DI20" s="170"/>
      <c r="DJ20" s="170"/>
      <c r="DK20" s="170"/>
      <c r="DL20" s="170"/>
      <c r="DM20" s="170"/>
      <c r="DN20" s="170"/>
      <c r="DO20" s="170"/>
      <c r="DP20" s="170"/>
      <c r="DQ20" s="170"/>
      <c r="DR20" s="170"/>
      <c r="DS20" s="170"/>
      <c r="DT20" s="170"/>
      <c r="DU20" s="170"/>
      <c r="DV20" s="170"/>
      <c r="DW20" s="170"/>
      <c r="DX20" s="170"/>
      <c r="DY20" s="170"/>
      <c r="DZ20" s="170"/>
      <c r="EA20" s="170"/>
      <c r="EB20" s="170"/>
      <c r="EC20" s="170"/>
      <c r="ED20" s="170"/>
      <c r="EE20" s="170"/>
      <c r="EF20" s="170"/>
      <c r="EG20" s="170"/>
      <c r="EH20" s="170"/>
      <c r="EI20" s="170"/>
      <c r="EJ20" s="170"/>
      <c r="EK20" s="170"/>
      <c r="EL20" s="170"/>
      <c r="EM20" s="170"/>
      <c r="EN20" s="170"/>
      <c r="EO20" s="170"/>
      <c r="EP20" s="170"/>
      <c r="EQ20" s="170"/>
      <c r="ER20" s="170"/>
      <c r="ES20" s="170"/>
      <c r="ET20" s="170"/>
      <c r="EU20" s="170"/>
      <c r="EV20" s="170"/>
      <c r="EW20" s="170"/>
      <c r="EX20" s="170"/>
      <c r="EY20" s="170"/>
      <c r="EZ20" s="170"/>
      <c r="FA20" s="170"/>
      <c r="FB20" s="170"/>
      <c r="FC20" s="170"/>
      <c r="FD20" s="170"/>
      <c r="FE20" s="170"/>
      <c r="FF20" s="170"/>
      <c r="FG20" s="170"/>
      <c r="FH20" s="170"/>
      <c r="FI20" s="170"/>
      <c r="FJ20" s="170"/>
      <c r="FK20" s="170"/>
      <c r="FL20" s="170"/>
      <c r="FM20" s="170"/>
      <c r="FN20" s="170"/>
      <c r="FO20" s="170"/>
      <c r="FP20" s="170"/>
      <c r="FQ20" s="170"/>
      <c r="FR20" s="170"/>
      <c r="FS20" s="170"/>
      <c r="FT20" s="170"/>
      <c r="FU20" s="170"/>
      <c r="FV20" s="170"/>
      <c r="FW20" s="170"/>
      <c r="FX20" s="170"/>
      <c r="FY20" s="170"/>
      <c r="FZ20" s="170"/>
      <c r="GA20" s="170"/>
      <c r="GB20" s="170"/>
      <c r="GC20" s="170"/>
      <c r="GD20" s="170"/>
      <c r="GE20" s="170"/>
      <c r="GF20" s="170"/>
      <c r="GG20" s="170"/>
      <c r="GH20" s="170"/>
      <c r="GI20" s="170"/>
      <c r="GJ20" s="170"/>
      <c r="GK20" s="170"/>
      <c r="GL20" s="170"/>
      <c r="GM20" s="170"/>
      <c r="GN20" s="170"/>
      <c r="GO20" s="170"/>
      <c r="GP20" s="170"/>
      <c r="GQ20" s="170"/>
      <c r="GR20" s="170"/>
      <c r="GS20" s="170"/>
      <c r="GT20" s="170"/>
      <c r="GU20" s="170"/>
      <c r="GV20" s="170"/>
      <c r="GW20" s="170"/>
      <c r="GX20" s="170"/>
      <c r="GY20" s="170"/>
      <c r="GZ20" s="170"/>
      <c r="HA20" s="170"/>
      <c r="HB20" s="170"/>
      <c r="HC20" s="170"/>
      <c r="HD20" s="170"/>
      <c r="HE20" s="170"/>
      <c r="HF20" s="170"/>
      <c r="HG20" s="170"/>
      <c r="HH20" s="170"/>
      <c r="HI20" s="170"/>
      <c r="HJ20" s="170"/>
      <c r="HK20" s="170"/>
      <c r="HL20" s="170"/>
      <c r="HM20" s="170"/>
      <c r="HN20" s="170"/>
      <c r="HO20" s="170"/>
      <c r="HP20" s="170"/>
      <c r="HQ20" s="170"/>
      <c r="HR20" s="170"/>
      <c r="HS20" s="170"/>
      <c r="HT20" s="170"/>
      <c r="HU20" s="170"/>
      <c r="HV20" s="170"/>
      <c r="HW20" s="170"/>
      <c r="HX20" s="170"/>
      <c r="HY20" s="170"/>
      <c r="HZ20" s="170"/>
      <c r="IA20" s="170"/>
      <c r="IB20" s="170"/>
      <c r="IC20" s="170"/>
      <c r="ID20" s="170"/>
      <c r="IE20" s="170"/>
      <c r="IF20" s="170"/>
      <c r="IG20" s="170"/>
      <c r="IH20" s="170"/>
      <c r="II20" s="170"/>
      <c r="IJ20" s="170"/>
      <c r="IK20" s="170"/>
      <c r="IL20" s="170"/>
      <c r="IM20" s="170"/>
      <c r="IN20" s="170"/>
      <c r="IO20" s="170"/>
      <c r="IP20" s="170"/>
      <c r="IQ20" s="170"/>
      <c r="IR20" s="170"/>
      <c r="IS20" s="170"/>
      <c r="IT20" s="170"/>
      <c r="IU20" s="170"/>
    </row>
    <row r="21" spans="1:255" customHeight="1" ht="19.5">
      <c r="A21" s="197"/>
      <c r="B21" s="198"/>
      <c r="C21" s="199"/>
      <c r="D21" s="199"/>
      <c r="E21" s="199"/>
      <c r="F21" s="199"/>
      <c r="G21" s="199"/>
      <c r="H21" s="200"/>
      <c r="I21" s="200"/>
      <c r="J21" s="200"/>
      <c r="K21" s="200"/>
      <c r="L21" s="200"/>
      <c r="M21" s="200"/>
      <c r="N21" s="200"/>
      <c r="O21" s="200"/>
      <c r="P21" s="200"/>
      <c r="Q21" s="201"/>
      <c r="R21" s="201"/>
      <c r="S21" s="201"/>
      <c r="T21" s="201"/>
      <c r="U21" s="201"/>
      <c r="V21" s="201"/>
      <c r="W21" s="201"/>
      <c r="X21" s="201">
        <f>X20+X14</f>
        <v>0</v>
      </c>
      <c r="Y21" s="201">
        <f>Y20+Y14</f>
        <v>0</v>
      </c>
      <c r="Z21" s="201">
        <f>Z20+Z14</f>
        <v>0</v>
      </c>
      <c r="AA21" s="201">
        <f>AA20+AA14</f>
        <v>5000000</v>
      </c>
      <c r="AB21" s="201">
        <f>AB20+AB14</f>
        <v>400000</v>
      </c>
      <c r="AC21" s="201">
        <f>AC20+AC14</f>
        <v>0</v>
      </c>
      <c r="AD21" s="201">
        <f>AD20+AD14</f>
        <v>7000000</v>
      </c>
      <c r="AE21" s="201">
        <f>AE20+AE14</f>
        <v>0</v>
      </c>
      <c r="AF21" s="201">
        <f>AF20+AF14</f>
        <v>0</v>
      </c>
      <c r="AG21" s="201">
        <f>AG20+AG14</f>
        <v>12400000</v>
      </c>
      <c r="AH21" s="201">
        <f>AH20+AH14</f>
        <v>2670970.52400000020862</v>
      </c>
      <c r="AI21" s="201">
        <f>AI20+AI14</f>
        <v>253039.31280000001425</v>
      </c>
      <c r="AJ21" s="201">
        <f>AJ20+AJ14</f>
        <v>1874365.28000000026077</v>
      </c>
      <c r="AK21" s="201">
        <f>AK20+AK14</f>
        <v>4798375.11679999995977</v>
      </c>
      <c r="AL21" s="201">
        <f>AL20+AL14</f>
        <v>0</v>
      </c>
      <c r="AM21" s="201">
        <f>AM20+AM14</f>
        <v>0</v>
      </c>
      <c r="AN21" s="201">
        <f>AN20+AN14</f>
        <v>0</v>
      </c>
      <c r="AO21" s="201">
        <f>AO20+AO14</f>
        <v>17198375.11680000275373</v>
      </c>
      <c r="AP21" s="201">
        <f>AP20+AP14</f>
        <v>0</v>
      </c>
      <c r="AQ21" s="201">
        <f>AQ20+AQ14</f>
        <v>1405773.95999999996275</v>
      </c>
      <c r="AR21" s="201">
        <f>AR20+AR14</f>
        <v>15792601.15679999813437</v>
      </c>
      <c r="AS21" s="243">
        <f>AS20+AS14</f>
        <v>500000</v>
      </c>
      <c r="AT21" s="201">
        <f>AT20+AT14</f>
        <v>4798375.11679999995977</v>
      </c>
      <c r="AU21" s="201">
        <f>AU20+AU14</f>
        <v>468591.32000000006519</v>
      </c>
      <c r="AV21" s="201">
        <f>AV20+AV14</f>
        <v>0</v>
      </c>
      <c r="AW21" s="201">
        <f>AW20+AW14</f>
        <v>5766966.43680000025779</v>
      </c>
      <c r="AX21" s="201">
        <f>AX20+AX14</f>
        <v>10025634.71999999880791</v>
      </c>
      <c r="AY21" s="201">
        <f>AY20+AY14</f>
        <v>0</v>
      </c>
      <c r="AZ21" s="201">
        <f>AZ20+AZ14</f>
        <v>2342956.60000000009313</v>
      </c>
      <c r="BA21" s="201">
        <f>BA20+BA14</f>
        <v>4329783.79680000059307</v>
      </c>
      <c r="BB21" s="201">
        <f>BB20+BB14</f>
        <v>0</v>
      </c>
      <c r="BC21" s="201">
        <f>BC20+BC14</f>
        <v>46859132</v>
      </c>
      <c r="BD21" s="201">
        <f>BD20+BD14</f>
        <v>46859132</v>
      </c>
      <c r="BE21" s="201">
        <f>BE20+BE14</f>
        <v>0</v>
      </c>
      <c r="BF21" s="279">
        <f>BF20+BF14</f>
        <v>0</v>
      </c>
      <c r="BG21" s="284"/>
      <c r="BH21" s="282"/>
      <c r="BI21" s="170"/>
      <c r="BJ21" s="170"/>
      <c r="BK21" s="170"/>
      <c r="BL21" s="170"/>
      <c r="BM21" s="170"/>
      <c r="BN21" s="170"/>
      <c r="BO21" s="170"/>
      <c r="BP21" s="170"/>
      <c r="BQ21" s="170"/>
      <c r="BR21" s="170"/>
      <c r="BS21" s="170"/>
      <c r="BT21" s="170"/>
      <c r="BU21" s="170"/>
      <c r="BV21" s="170"/>
      <c r="BW21" s="170"/>
      <c r="BX21" s="170"/>
      <c r="BY21" s="170"/>
      <c r="BZ21" s="170"/>
      <c r="CA21" s="170"/>
      <c r="CB21" s="170"/>
      <c r="CC21" s="170"/>
      <c r="CD21" s="170"/>
      <c r="CE21" s="170"/>
      <c r="CF21" s="170"/>
      <c r="CG21" s="170"/>
      <c r="CH21" s="170"/>
      <c r="CI21" s="170"/>
      <c r="CJ21" s="170"/>
      <c r="CK21" s="170"/>
      <c r="CL21" s="170"/>
      <c r="CM21" s="170"/>
      <c r="CN21" s="170"/>
      <c r="CO21" s="170"/>
      <c r="CP21" s="170"/>
      <c r="CQ21" s="170"/>
      <c r="CR21" s="170"/>
      <c r="CS21" s="170"/>
      <c r="CT21" s="170"/>
      <c r="CU21" s="170"/>
      <c r="CV21" s="170"/>
      <c r="CW21" s="170"/>
      <c r="CX21" s="170"/>
      <c r="CY21" s="170"/>
      <c r="CZ21" s="170"/>
      <c r="DA21" s="170"/>
      <c r="DB21" s="170"/>
      <c r="DC21" s="170"/>
      <c r="DD21" s="170"/>
      <c r="DE21" s="170"/>
      <c r="DF21" s="170"/>
      <c r="DG21" s="170"/>
      <c r="DH21" s="170"/>
      <c r="DI21" s="170"/>
      <c r="DJ21" s="170"/>
      <c r="DK21" s="170"/>
      <c r="DL21" s="170"/>
      <c r="DM21" s="170"/>
      <c r="DN21" s="170"/>
      <c r="DO21" s="170"/>
      <c r="DP21" s="170"/>
      <c r="DQ21" s="170"/>
      <c r="DR21" s="170"/>
      <c r="DS21" s="170"/>
      <c r="DT21" s="170"/>
      <c r="DU21" s="170"/>
      <c r="DV21" s="170"/>
      <c r="DW21" s="170"/>
      <c r="DX21" s="170"/>
      <c r="DY21" s="170"/>
      <c r="DZ21" s="170"/>
      <c r="EA21" s="170"/>
      <c r="EB21" s="170"/>
      <c r="EC21" s="170"/>
      <c r="ED21" s="170"/>
      <c r="EE21" s="170"/>
      <c r="EF21" s="170"/>
      <c r="EG21" s="170"/>
      <c r="EH21" s="170"/>
      <c r="EI21" s="170"/>
      <c r="EJ21" s="170"/>
      <c r="EK21" s="170"/>
      <c r="EL21" s="170"/>
      <c r="EM21" s="170"/>
      <c r="EN21" s="170"/>
      <c r="EO21" s="170"/>
      <c r="EP21" s="170"/>
      <c r="EQ21" s="170"/>
      <c r="ER21" s="170"/>
      <c r="ES21" s="170"/>
      <c r="ET21" s="170"/>
      <c r="EU21" s="170"/>
      <c r="EV21" s="170"/>
      <c r="EW21" s="170"/>
      <c r="EX21" s="170"/>
      <c r="EY21" s="170"/>
      <c r="EZ21" s="170"/>
      <c r="FA21" s="170"/>
      <c r="FB21" s="170"/>
      <c r="FC21" s="170"/>
      <c r="FD21" s="170"/>
      <c r="FE21" s="170"/>
      <c r="FF21" s="170"/>
      <c r="FG21" s="170"/>
      <c r="FH21" s="170"/>
      <c r="FI21" s="170"/>
      <c r="FJ21" s="170"/>
      <c r="FK21" s="170"/>
      <c r="FL21" s="170"/>
      <c r="FM21" s="170"/>
      <c r="FN21" s="170"/>
      <c r="FO21" s="170"/>
      <c r="FP21" s="170"/>
      <c r="FQ21" s="170"/>
      <c r="FR21" s="170"/>
      <c r="FS21" s="170"/>
      <c r="FT21" s="170"/>
      <c r="FU21" s="170"/>
      <c r="FV21" s="170"/>
      <c r="FW21" s="170"/>
      <c r="FX21" s="170"/>
      <c r="FY21" s="170"/>
      <c r="FZ21" s="170"/>
      <c r="GA21" s="170"/>
      <c r="GB21" s="170"/>
      <c r="GC21" s="170"/>
      <c r="GD21" s="170"/>
      <c r="GE21" s="170"/>
      <c r="GF21" s="170"/>
      <c r="GG21" s="170"/>
      <c r="GH21" s="170"/>
      <c r="GI21" s="170"/>
      <c r="GJ21" s="170"/>
      <c r="GK21" s="170"/>
      <c r="GL21" s="170"/>
      <c r="GM21" s="170"/>
      <c r="GN21" s="170"/>
      <c r="GO21" s="170"/>
      <c r="GP21" s="170"/>
      <c r="GQ21" s="170"/>
      <c r="GR21" s="170"/>
      <c r="GS21" s="170"/>
      <c r="GT21" s="170"/>
      <c r="GU21" s="170"/>
      <c r="GV21" s="170"/>
      <c r="GW21" s="170"/>
      <c r="GX21" s="170"/>
      <c r="GY21" s="170"/>
      <c r="GZ21" s="170"/>
      <c r="HA21" s="170"/>
      <c r="HB21" s="170"/>
      <c r="HC21" s="170"/>
      <c r="HD21" s="170"/>
      <c r="HE21" s="170"/>
      <c r="HF21" s="170"/>
      <c r="HG21" s="170"/>
      <c r="HH21" s="170"/>
      <c r="HI21" s="170"/>
      <c r="HJ21" s="170"/>
      <c r="HK21" s="170"/>
      <c r="HL21" s="170"/>
      <c r="HM21" s="170"/>
      <c r="HN21" s="170"/>
      <c r="HO21" s="170"/>
      <c r="HP21" s="170"/>
      <c r="HQ21" s="170"/>
      <c r="HR21" s="170"/>
      <c r="HS21" s="170"/>
      <c r="HT21" s="170"/>
      <c r="HU21" s="170"/>
      <c r="HV21" s="170"/>
      <c r="HW21" s="170"/>
      <c r="HX21" s="170"/>
      <c r="HY21" s="170"/>
      <c r="HZ21" s="170"/>
      <c r="IA21" s="170"/>
      <c r="IB21" s="170"/>
      <c r="IC21" s="170"/>
      <c r="ID21" s="170"/>
      <c r="IE21" s="170"/>
      <c r="IF21" s="170"/>
      <c r="IG21" s="170"/>
      <c r="IH21" s="170"/>
      <c r="II21" s="170"/>
      <c r="IJ21" s="170"/>
      <c r="IK21" s="170"/>
      <c r="IL21" s="170"/>
      <c r="IM21" s="170"/>
      <c r="IN21" s="170"/>
      <c r="IO21" s="170"/>
      <c r="IP21" s="170"/>
      <c r="IQ21" s="170"/>
      <c r="IR21" s="170"/>
      <c r="IS21" s="170"/>
      <c r="IT21" s="170"/>
      <c r="IU21" s="170"/>
    </row>
    <row r="22" spans="1:255">
      <c r="A22" s="156"/>
      <c r="C22" s="155"/>
      <c r="E22" s="155"/>
      <c r="F22" s="157"/>
      <c r="G22" s="157"/>
      <c r="H22" s="155"/>
      <c r="I22" s="155"/>
      <c r="J22" s="155"/>
      <c r="K22" s="155"/>
      <c r="L22" s="155"/>
      <c r="M22" s="155"/>
      <c r="N22" s="155"/>
      <c r="O22" s="155"/>
      <c r="Q22" s="158"/>
      <c r="S22" s="108"/>
      <c r="T22" s="120"/>
      <c r="U22" s="120"/>
      <c r="V22" s="159"/>
      <c r="W22" s="160"/>
      <c r="X22" s="161"/>
      <c r="Y22" s="158"/>
      <c r="Z22" s="158"/>
      <c r="AA22" s="158"/>
      <c r="AB22" s="158"/>
      <c r="AC22" s="158"/>
      <c r="AD22" s="158"/>
      <c r="AE22" s="158"/>
      <c r="AF22" s="158"/>
      <c r="AG22" s="162"/>
      <c r="AH22" s="158">
        <f>SUM(AH21:AJ21)</f>
        <v>4798375.11680000089109</v>
      </c>
      <c r="AI22" s="158"/>
      <c r="AJ22" s="158"/>
      <c r="AK22" s="162"/>
      <c r="AL22" s="162"/>
      <c r="AM22" s="162"/>
      <c r="AN22" s="162"/>
      <c r="AO22" s="163"/>
      <c r="AP22" s="162"/>
      <c r="AQ22" s="162"/>
      <c r="AR22" s="163"/>
      <c r="AS22" s="226"/>
      <c r="AT22" s="226">
        <f>SUM(AT21:AT21)</f>
        <v>4798375.11679999995977</v>
      </c>
      <c r="AU22" s="162"/>
      <c r="AV22" s="227"/>
      <c r="AW22" s="163"/>
      <c r="AX22" s="228"/>
      <c r="AY22" s="148"/>
      <c r="AZ22" s="247"/>
      <c r="BA22" s="247"/>
      <c r="BB22" s="148"/>
      <c r="BC22" s="248"/>
      <c r="BD22" s="248"/>
      <c r="BE22" s="148"/>
      <c r="BF22" s="249"/>
      <c r="BG22" s="280"/>
      <c r="BH22" s="255"/>
    </row>
    <row r="23" spans="1:255">
      <c r="AR23" s="119"/>
      <c r="AY23" s="247"/>
      <c r="AZ23" s="247"/>
      <c r="BA23" s="247"/>
      <c r="BB23" s="247"/>
      <c r="BC23" s="247"/>
      <c r="BD23" s="247"/>
      <c r="BE23" s="247"/>
      <c r="BF23" s="113"/>
      <c r="BH23" s="247"/>
    </row>
    <row r="24" spans="1:255">
      <c r="AR24" s="119"/>
      <c r="AY24" s="247"/>
      <c r="AZ24" s="250"/>
      <c r="BA24" s="250"/>
      <c r="BB24" s="247"/>
      <c r="BC24" s="247"/>
      <c r="BD24" s="247"/>
      <c r="BE24" s="247"/>
      <c r="BF24" s="113"/>
      <c r="BH24" s="247"/>
      <c r="BI24" s="247"/>
    </row>
    <row r="25" spans="1:255">
      <c r="AR25" s="119"/>
      <c r="AS25" s="112"/>
      <c r="AT25" s="112"/>
      <c r="AV25" s="119"/>
      <c r="AX25" s="236"/>
      <c r="AY25" s="251"/>
      <c r="AZ25" s="252"/>
      <c r="BA25" s="247"/>
      <c r="BB25" s="247"/>
      <c r="BC25" s="247"/>
      <c r="BD25" s="247"/>
      <c r="BE25" s="247"/>
      <c r="BF25" s="113"/>
      <c r="BH25" s="247"/>
      <c r="BI25" s="247"/>
    </row>
    <row r="26" spans="1:255">
      <c r="S26" s="164"/>
      <c r="AR26" s="119"/>
      <c r="AS26" s="112"/>
      <c r="AT26" s="112"/>
      <c r="AV26" s="119"/>
      <c r="AY26" s="247"/>
      <c r="AZ26" s="253"/>
      <c r="BA26" s="250"/>
      <c r="BB26" s="247"/>
      <c r="BC26" s="247"/>
      <c r="BD26" s="247"/>
      <c r="BE26" s="247"/>
      <c r="BF26" s="113"/>
      <c r="BH26" s="247"/>
      <c r="BI26" s="247"/>
    </row>
    <row r="27" spans="1:255">
      <c r="AR27" s="119"/>
      <c r="AS27" s="112"/>
      <c r="AT27" s="246"/>
      <c r="AU27" s="119"/>
      <c r="AV27" s="119"/>
      <c r="AX27" s="215"/>
      <c r="AY27" s="254"/>
      <c r="AZ27" s="253"/>
      <c r="BA27" s="253"/>
      <c r="BB27" s="247"/>
      <c r="BC27" s="255"/>
      <c r="BD27" s="255"/>
      <c r="BE27" s="255"/>
      <c r="BF27" s="120"/>
      <c r="BG27" s="120"/>
      <c r="BH27" s="255"/>
      <c r="BI27" s="247"/>
    </row>
    <row r="28" spans="1:255">
      <c r="AR28" s="119"/>
      <c r="AS28" s="112"/>
      <c r="AT28" s="112"/>
      <c r="AV28" s="119"/>
      <c r="AY28" s="247"/>
      <c r="AZ28" s="253"/>
      <c r="BA28" s="247"/>
      <c r="BB28" s="247"/>
      <c r="BC28" s="255"/>
      <c r="BD28" s="255"/>
      <c r="BE28" s="255"/>
      <c r="BF28" s="120"/>
      <c r="BG28" s="120"/>
      <c r="BH28" s="255"/>
      <c r="BI28" s="247"/>
    </row>
    <row r="29" spans="1:255">
      <c r="AS29" s="112"/>
      <c r="AT29" s="112"/>
      <c r="AV29" s="119"/>
      <c r="AX29" s="119"/>
      <c r="AY29" s="247"/>
      <c r="AZ29" s="253"/>
      <c r="BA29" s="253"/>
      <c r="BB29" s="247"/>
      <c r="BC29" s="274"/>
      <c r="BD29" s="255"/>
      <c r="BE29" s="255"/>
      <c r="BF29" s="120"/>
      <c r="BG29" s="120"/>
      <c r="BH29" s="255"/>
      <c r="BI29" s="247"/>
    </row>
    <row r="30" spans="1:255">
      <c r="BA30" s="234"/>
      <c r="BB30" s="234"/>
      <c r="BC30" s="271"/>
      <c r="BD30" s="269"/>
      <c r="BE30" s="269"/>
      <c r="BF30" s="270"/>
      <c r="BG30" s="120"/>
      <c r="BH30" s="269"/>
    </row>
    <row r="31" spans="1:255">
      <c r="BA31" s="234"/>
      <c r="BB31" s="234"/>
      <c r="BC31" s="271"/>
      <c r="BD31" s="269"/>
      <c r="BE31" s="269"/>
      <c r="BF31" s="270"/>
      <c r="BG31" s="120"/>
      <c r="BH31" s="269"/>
    </row>
    <row r="32" spans="1:255">
      <c r="BA32" s="234"/>
      <c r="BB32" s="234"/>
      <c r="BC32" s="271"/>
      <c r="BD32" s="269"/>
      <c r="BE32" s="269"/>
      <c r="BF32" s="270"/>
      <c r="BG32" s="120"/>
      <c r="BH32" s="269"/>
    </row>
    <row r="33" spans="1:255">
      <c r="BA33" s="234"/>
      <c r="BB33" s="234"/>
      <c r="BC33" s="271"/>
      <c r="BD33" s="269"/>
      <c r="BE33" s="269"/>
      <c r="BF33" s="270"/>
      <c r="BG33" s="120"/>
      <c r="BH33" s="269"/>
    </row>
    <row r="34" spans="1:255">
      <c r="BA34" s="234"/>
      <c r="BB34" s="234"/>
      <c r="BC34" s="271"/>
      <c r="BD34" s="269"/>
      <c r="BE34" s="269"/>
      <c r="BF34" s="270"/>
      <c r="BG34" s="120"/>
      <c r="BH34" s="269"/>
    </row>
    <row r="35" spans="1:255">
      <c r="BA35" s="234"/>
      <c r="BB35" s="234"/>
      <c r="BC35" s="271"/>
      <c r="BD35" s="269"/>
      <c r="BE35" s="269"/>
      <c r="BF35" s="270"/>
      <c r="BG35" s="120"/>
      <c r="BH35" s="269"/>
    </row>
    <row r="36" spans="1:255">
      <c r="BA36" s="234"/>
      <c r="BB36" s="234"/>
      <c r="BC36" s="118"/>
    </row>
    <row r="37" spans="1:255">
      <c r="BA37" s="234"/>
      <c r="BB37" s="234"/>
      <c r="BC37" s="118"/>
    </row>
    <row r="38" spans="1:255">
      <c r="BA38" s="234"/>
      <c r="BB38" s="234"/>
      <c r="BC38" s="118"/>
    </row>
    <row r="39" spans="1:255">
      <c r="BA39" s="234"/>
      <c r="BB39" s="234"/>
      <c r="BC39" s="118"/>
    </row>
    <row r="40" spans="1:255">
      <c r="BA40" s="234"/>
      <c r="BB40" s="234"/>
      <c r="BC40" s="118"/>
    </row>
    <row r="41" spans="1:255">
      <c r="BA41" s="234"/>
      <c r="BB41" s="234"/>
      <c r="BC41" s="118"/>
    </row>
    <row r="42" spans="1:255">
      <c r="BA42" s="234"/>
      <c r="BB42" s="234"/>
      <c r="BC42" s="118"/>
    </row>
    <row r="43" spans="1:255">
      <c r="BA43" s="234"/>
      <c r="BB43" s="234"/>
      <c r="BC43" s="118"/>
    </row>
    <row r="44" spans="1:255">
      <c r="BA44" s="234"/>
      <c r="BB44" s="234"/>
      <c r="BC44" s="118"/>
    </row>
    <row r="45" spans="1:255">
      <c r="BA45" s="234"/>
      <c r="BB45" s="234"/>
      <c r="BC45" s="118"/>
    </row>
    <row r="46" spans="1:255">
      <c r="BA46" s="234"/>
      <c r="BB46" s="234"/>
      <c r="BC46" s="118"/>
    </row>
    <row r="47" spans="1:255">
      <c r="BA47" s="234"/>
      <c r="BB47" s="234"/>
      <c r="BC47" s="118"/>
    </row>
    <row r="48" spans="1:255">
      <c r="BA48" s="234"/>
      <c r="BB48" s="234"/>
      <c r="BC48" s="118"/>
    </row>
    <row r="49" spans="1:255">
      <c r="BA49" s="234"/>
      <c r="BB49" s="234"/>
      <c r="BC49" s="118"/>
    </row>
    <row r="50" spans="1:255">
      <c r="BA50" s="234"/>
      <c r="BB50" s="234"/>
      <c r="BC50" s="118"/>
    </row>
    <row r="51" spans="1:255">
      <c r="BA51" s="234"/>
      <c r="BB51" s="234"/>
      <c r="BC51" s="118"/>
    </row>
    <row r="52" spans="1:255">
      <c r="BA52" s="234"/>
      <c r="BB52" s="234"/>
      <c r="BC52" s="118"/>
    </row>
    <row r="53" spans="1:255">
      <c r="BA53" s="234"/>
      <c r="BB53" s="234"/>
      <c r="BC53" s="118"/>
    </row>
    <row r="54" spans="1:255">
      <c r="BA54" s="234"/>
      <c r="BB54" s="234"/>
      <c r="BC54" s="118"/>
    </row>
    <row r="55" spans="1:255">
      <c r="BA55" s="234"/>
      <c r="BB55" s="234"/>
      <c r="BC55" s="118"/>
    </row>
    <row r="56" spans="1:255">
      <c r="BA56" s="234"/>
      <c r="BB56" s="234"/>
      <c r="BC56" s="118"/>
    </row>
    <row r="57" spans="1:255">
      <c r="BA57" s="234"/>
      <c r="BB57" s="234"/>
      <c r="BC57" s="118"/>
    </row>
    <row r="58" spans="1:255">
      <c r="BA58" s="234"/>
      <c r="BB58" s="234"/>
      <c r="BC58" s="118"/>
    </row>
    <row r="59" spans="1:255">
      <c r="BA59" s="234"/>
      <c r="BB59" s="234"/>
      <c r="BC59" s="118"/>
    </row>
    <row r="60" spans="1:255">
      <c r="BA60" s="234"/>
      <c r="BB60" s="234"/>
      <c r="BC60" s="118"/>
    </row>
    <row r="61" spans="1:255">
      <c r="BA61" s="234"/>
      <c r="BB61" s="234"/>
      <c r="BC61" s="118"/>
    </row>
    <row r="62" spans="1:255">
      <c r="BA62" s="234"/>
      <c r="BB62" s="234"/>
      <c r="BC62" s="118"/>
    </row>
    <row r="63" spans="1:255">
      <c r="BA63" s="234"/>
      <c r="BB63" s="234"/>
      <c r="BC63" s="118"/>
    </row>
    <row r="64" spans="1:255">
      <c r="BA64" s="234"/>
      <c r="BB64" s="234"/>
      <c r="BC64" s="118"/>
    </row>
    <row r="65" spans="1:255">
      <c r="BA65" s="234"/>
      <c r="BB65" s="234"/>
      <c r="BC65" s="118"/>
    </row>
    <row r="66" spans="1:255">
      <c r="A66" s="255"/>
      <c r="B66" s="255"/>
      <c r="C66" s="255"/>
      <c r="D66" s="255"/>
      <c r="E66" s="255"/>
      <c r="F66" s="255"/>
      <c r="G66" s="255"/>
      <c r="H66" s="255"/>
      <c r="I66" s="255"/>
      <c r="J66" s="255"/>
      <c r="K66" s="255"/>
      <c r="L66" s="255"/>
      <c r="M66" s="255"/>
      <c r="N66" s="255"/>
      <c r="O66" s="255"/>
      <c r="P66" s="255"/>
      <c r="Q66" s="255"/>
      <c r="R66" s="255"/>
      <c r="S66" s="256"/>
      <c r="T66" s="255"/>
      <c r="U66" s="255"/>
      <c r="V66" s="257"/>
      <c r="W66" s="257"/>
      <c r="X66" s="255"/>
      <c r="Y66" s="255"/>
      <c r="Z66" s="255"/>
      <c r="AA66" s="255"/>
      <c r="AB66" s="255"/>
      <c r="AC66" s="255"/>
      <c r="AD66" s="255"/>
      <c r="AE66" s="255"/>
      <c r="AF66" s="255"/>
      <c r="AG66" s="255"/>
      <c r="AH66" s="255"/>
      <c r="AI66" s="255"/>
      <c r="AJ66" s="255"/>
      <c r="AK66" s="255"/>
      <c r="AL66" s="255"/>
      <c r="AM66" s="255"/>
      <c r="AN66" s="255"/>
      <c r="AO66" s="255"/>
      <c r="AP66" s="255"/>
      <c r="AQ66" s="255"/>
      <c r="AR66" s="255"/>
      <c r="AS66" s="256"/>
      <c r="AT66" s="256"/>
      <c r="AU66" s="255"/>
      <c r="AV66" s="255"/>
      <c r="AW66" s="255"/>
      <c r="AX66" s="120"/>
      <c r="AY66" s="255"/>
      <c r="AZ66" s="255"/>
      <c r="BA66" s="120"/>
      <c r="BB66" s="120"/>
      <c r="BC66" s="274"/>
      <c r="BD66" s="255"/>
      <c r="BE66" s="255"/>
      <c r="BF66" s="120"/>
      <c r="BG66" s="120"/>
      <c r="BH66" s="255"/>
      <c r="BI66" s="255"/>
      <c r="BJ66" s="255"/>
      <c r="BK66" s="255"/>
      <c r="BL66" s="255"/>
      <c r="BM66" s="255"/>
      <c r="BN66" s="255"/>
      <c r="BO66" s="255"/>
      <c r="BP66" s="255"/>
      <c r="BQ66" s="255"/>
      <c r="BR66" s="255"/>
      <c r="BS66" s="255"/>
      <c r="BT66" s="255"/>
      <c r="BU66" s="255"/>
      <c r="BV66" s="255"/>
      <c r="BW66" s="255"/>
      <c r="BX66" s="255"/>
      <c r="BY66" s="255"/>
      <c r="BZ66" s="255"/>
      <c r="CA66" s="255"/>
      <c r="CB66" s="255"/>
      <c r="CC66" s="255"/>
      <c r="CD66" s="255"/>
      <c r="CE66" s="255"/>
      <c r="CF66" s="255"/>
      <c r="CG66" s="255"/>
      <c r="CH66" s="255"/>
      <c r="CI66" s="255"/>
      <c r="CJ66" s="255"/>
      <c r="CK66" s="255"/>
      <c r="CL66" s="255"/>
      <c r="CM66" s="255"/>
      <c r="CN66" s="255"/>
      <c r="CO66" s="255"/>
      <c r="CP66" s="255"/>
      <c r="CQ66" s="255"/>
      <c r="CR66" s="255"/>
      <c r="CS66" s="255"/>
      <c r="CT66" s="255"/>
      <c r="CU66" s="255"/>
    </row>
    <row r="67" spans="1:255">
      <c r="A67" s="255"/>
      <c r="B67" s="255"/>
      <c r="C67" s="255"/>
      <c r="D67" s="255"/>
      <c r="E67" s="255"/>
      <c r="F67" s="255"/>
      <c r="G67" s="255"/>
      <c r="H67" s="255"/>
      <c r="I67" s="255"/>
      <c r="J67" s="255"/>
      <c r="K67" s="255"/>
      <c r="L67" s="255"/>
      <c r="M67" s="255"/>
      <c r="N67" s="255"/>
      <c r="O67" s="255"/>
      <c r="P67" s="255"/>
      <c r="Q67" s="255"/>
      <c r="R67" s="255"/>
      <c r="S67" s="256"/>
      <c r="T67" s="255"/>
      <c r="U67" s="255"/>
      <c r="V67" s="257"/>
      <c r="W67" s="257"/>
      <c r="X67" s="255"/>
      <c r="Y67" s="255"/>
      <c r="Z67" s="255"/>
      <c r="AA67" s="255"/>
      <c r="AB67" s="255"/>
      <c r="AC67" s="255"/>
      <c r="AD67" s="255"/>
      <c r="AE67" s="255"/>
      <c r="AF67" s="255"/>
      <c r="AG67" s="255"/>
      <c r="AH67" s="255"/>
      <c r="AI67" s="255"/>
      <c r="AJ67" s="255"/>
      <c r="AK67" s="255"/>
      <c r="AL67" s="255"/>
      <c r="AM67" s="255"/>
      <c r="AN67" s="255"/>
      <c r="AO67" s="255"/>
      <c r="AP67" s="255"/>
      <c r="AQ67" s="255"/>
      <c r="AR67" s="255"/>
      <c r="AS67" s="275"/>
      <c r="AT67" s="256"/>
      <c r="AU67" s="255"/>
      <c r="AV67" s="255"/>
      <c r="AW67" s="255"/>
      <c r="AX67" s="120"/>
      <c r="AY67" s="255"/>
      <c r="AZ67" s="255"/>
      <c r="BA67" s="255"/>
      <c r="BB67" s="255"/>
      <c r="BC67" s="255"/>
      <c r="BD67" s="255"/>
      <c r="BE67" s="255"/>
      <c r="BF67" s="120"/>
      <c r="BG67" s="120"/>
      <c r="BH67" s="255"/>
      <c r="BI67" s="255"/>
      <c r="BJ67" s="255"/>
      <c r="BK67" s="255"/>
      <c r="BL67" s="255"/>
      <c r="BM67" s="255"/>
      <c r="BN67" s="255"/>
      <c r="BO67" s="255"/>
      <c r="BP67" s="255"/>
      <c r="BQ67" s="255"/>
      <c r="BR67" s="255"/>
      <c r="BS67" s="255"/>
      <c r="BT67" s="255"/>
      <c r="BU67" s="255"/>
      <c r="BV67" s="255"/>
      <c r="BW67" s="255"/>
      <c r="BX67" s="255"/>
      <c r="BY67" s="255"/>
      <c r="BZ67" s="255"/>
      <c r="CA67" s="255"/>
      <c r="CB67" s="255"/>
      <c r="CC67" s="255"/>
      <c r="CD67" s="255"/>
      <c r="CE67" s="255"/>
      <c r="CF67" s="255"/>
      <c r="CG67" s="255"/>
      <c r="CH67" s="255"/>
      <c r="CI67" s="255"/>
      <c r="CJ67" s="255"/>
      <c r="CK67" s="255"/>
      <c r="CL67" s="255"/>
      <c r="CM67" s="255"/>
      <c r="CN67" s="255"/>
      <c r="CO67" s="255"/>
      <c r="CP67" s="255"/>
      <c r="CQ67" s="255"/>
      <c r="CR67" s="255"/>
      <c r="CS67" s="255"/>
      <c r="CT67" s="255"/>
      <c r="CU67" s="255"/>
    </row>
    <row r="68" spans="1:255">
      <c r="A68" s="255"/>
      <c r="B68" s="255"/>
      <c r="C68" s="255"/>
      <c r="D68" s="255"/>
      <c r="E68" s="255"/>
      <c r="F68" s="255"/>
      <c r="G68" s="255"/>
      <c r="H68" s="255"/>
      <c r="I68" s="255"/>
      <c r="J68" s="255"/>
      <c r="K68" s="255"/>
      <c r="L68" s="255"/>
      <c r="M68" s="255"/>
      <c r="N68" s="255"/>
      <c r="O68" s="255"/>
      <c r="P68" s="255"/>
      <c r="Q68" s="255"/>
      <c r="R68" s="255"/>
      <c r="S68" s="256"/>
      <c r="T68" s="255"/>
      <c r="U68" s="255"/>
      <c r="V68" s="257"/>
      <c r="W68" s="257"/>
      <c r="X68" s="255"/>
      <c r="Y68" s="255"/>
      <c r="Z68" s="255"/>
      <c r="AA68" s="255"/>
      <c r="AB68" s="255"/>
      <c r="AC68" s="255"/>
      <c r="AD68" s="255"/>
      <c r="AE68" s="255"/>
      <c r="AF68" s="255"/>
      <c r="AG68" s="255"/>
      <c r="AH68" s="255"/>
      <c r="AI68" s="255"/>
      <c r="AJ68" s="255"/>
      <c r="AK68" s="255"/>
      <c r="AL68" s="255"/>
      <c r="AM68" s="255"/>
      <c r="AN68" s="255"/>
      <c r="AO68" s="255"/>
      <c r="AP68" s="255"/>
      <c r="AQ68" s="255"/>
      <c r="AR68" s="274"/>
      <c r="AS68" s="256"/>
      <c r="AT68" s="256"/>
      <c r="AU68" s="255"/>
      <c r="AV68" s="255"/>
      <c r="AW68" s="255"/>
      <c r="AX68" s="120"/>
      <c r="AY68" s="255"/>
      <c r="AZ68" s="255"/>
      <c r="BA68" s="255"/>
      <c r="BB68" s="255"/>
      <c r="BC68" s="255"/>
      <c r="BD68" s="255"/>
      <c r="BE68" s="255"/>
      <c r="BF68" s="120"/>
      <c r="BG68" s="120"/>
      <c r="BH68" s="255"/>
      <c r="BI68" s="255"/>
      <c r="BJ68" s="255"/>
      <c r="BK68" s="255"/>
      <c r="BL68" s="255"/>
      <c r="BM68" s="255"/>
      <c r="BN68" s="255"/>
      <c r="BO68" s="255"/>
      <c r="BP68" s="255"/>
      <c r="BQ68" s="255"/>
      <c r="BR68" s="255"/>
      <c r="BS68" s="255"/>
      <c r="BT68" s="255"/>
      <c r="BU68" s="255"/>
      <c r="BV68" s="255"/>
      <c r="BW68" s="255"/>
      <c r="BX68" s="255"/>
      <c r="BY68" s="255"/>
      <c r="BZ68" s="255"/>
      <c r="CA68" s="255"/>
      <c r="CB68" s="255"/>
      <c r="CC68" s="255"/>
      <c r="CD68" s="255"/>
      <c r="CE68" s="255"/>
      <c r="CF68" s="255"/>
      <c r="CG68" s="255"/>
      <c r="CH68" s="255"/>
      <c r="CI68" s="255"/>
      <c r="CJ68" s="255"/>
      <c r="CK68" s="255"/>
      <c r="CL68" s="255"/>
      <c r="CM68" s="255"/>
      <c r="CN68" s="255"/>
      <c r="CO68" s="255"/>
      <c r="CP68" s="255"/>
      <c r="CQ68" s="255"/>
      <c r="CR68" s="255"/>
      <c r="CS68" s="255"/>
      <c r="CT68" s="255"/>
      <c r="CU68" s="255"/>
    </row>
    <row r="69" spans="1:255" customHeight="1" ht="21.75">
      <c r="A69" s="258"/>
      <c r="B69" s="255"/>
      <c r="C69" s="256"/>
      <c r="D69" s="255"/>
      <c r="E69" s="255"/>
      <c r="F69" s="259"/>
      <c r="G69" s="259"/>
      <c r="H69" s="260"/>
      <c r="I69" s="258"/>
      <c r="J69" s="261"/>
      <c r="K69" s="258"/>
      <c r="L69" s="262"/>
      <c r="M69" s="262"/>
      <c r="N69" s="262"/>
      <c r="O69" s="262"/>
      <c r="P69" s="262"/>
      <c r="Q69" s="263"/>
      <c r="R69" s="255"/>
      <c r="S69" s="264"/>
      <c r="T69" s="120"/>
      <c r="U69" s="272"/>
      <c r="V69" s="159"/>
      <c r="W69" s="265"/>
      <c r="X69" s="263"/>
      <c r="Y69" s="158"/>
      <c r="Z69" s="158"/>
      <c r="AA69" s="266"/>
      <c r="AB69" s="266"/>
      <c r="AC69" s="266"/>
      <c r="AD69" s="266"/>
      <c r="AE69" s="266"/>
      <c r="AF69" s="158"/>
      <c r="AG69" s="158"/>
      <c r="AH69" s="158"/>
      <c r="AI69" s="158"/>
      <c r="AJ69" s="158"/>
      <c r="AK69" s="158"/>
      <c r="AL69" s="158"/>
      <c r="AM69" s="158"/>
      <c r="AN69" s="158"/>
      <c r="AO69" s="149"/>
      <c r="AP69" s="158"/>
      <c r="AQ69" s="158"/>
      <c r="AR69" s="149"/>
      <c r="AS69" s="266"/>
      <c r="AT69" s="158"/>
      <c r="AU69" s="120"/>
      <c r="AV69" s="158"/>
      <c r="AW69" s="149"/>
      <c r="AX69" s="267"/>
      <c r="AY69" s="149"/>
      <c r="AZ69" s="149"/>
      <c r="BA69" s="149"/>
      <c r="BB69" s="258"/>
      <c r="BC69" s="273"/>
      <c r="BD69" s="273"/>
      <c r="BE69" s="258"/>
      <c r="BF69" s="272"/>
      <c r="BG69" s="120"/>
      <c r="BH69" s="255"/>
      <c r="BI69" s="255"/>
      <c r="BJ69" s="255"/>
      <c r="BK69" s="255"/>
      <c r="BL69" s="255"/>
      <c r="BM69" s="255"/>
      <c r="BN69" s="255"/>
      <c r="BO69" s="255"/>
      <c r="BP69" s="255"/>
      <c r="BQ69" s="255"/>
      <c r="BR69" s="255"/>
      <c r="BS69" s="255"/>
      <c r="BT69" s="255"/>
      <c r="BU69" s="255"/>
      <c r="BV69" s="255"/>
      <c r="BW69" s="255"/>
      <c r="BX69" s="255"/>
      <c r="BY69" s="255"/>
      <c r="BZ69" s="255"/>
      <c r="CA69" s="255"/>
      <c r="CB69" s="255"/>
      <c r="CC69" s="255"/>
      <c r="CD69" s="255"/>
      <c r="CE69" s="255"/>
      <c r="CF69" s="255"/>
      <c r="CG69" s="255"/>
      <c r="CH69" s="255"/>
      <c r="CI69" s="255"/>
      <c r="CJ69" s="255"/>
      <c r="CK69" s="255"/>
      <c r="CL69" s="255"/>
      <c r="CM69" s="255"/>
      <c r="CN69" s="255"/>
      <c r="CO69" s="255"/>
      <c r="CP69" s="255"/>
      <c r="CQ69" s="255"/>
      <c r="CR69" s="255"/>
      <c r="CS69" s="255"/>
      <c r="CT69" s="255"/>
      <c r="CU69" s="255"/>
    </row>
    <row r="70" spans="1:255">
      <c r="A70" s="255"/>
      <c r="B70" s="255"/>
      <c r="C70" s="255"/>
      <c r="D70" s="255"/>
      <c r="E70" s="255"/>
      <c r="F70" s="255"/>
      <c r="G70" s="255"/>
      <c r="H70" s="255"/>
      <c r="I70" s="255"/>
      <c r="J70" s="255"/>
      <c r="K70" s="255"/>
      <c r="L70" s="255"/>
      <c r="M70" s="255"/>
      <c r="N70" s="255"/>
      <c r="O70" s="255"/>
      <c r="P70" s="255"/>
      <c r="Q70" s="255"/>
      <c r="R70" s="255"/>
      <c r="S70" s="256"/>
      <c r="T70" s="255"/>
      <c r="U70" s="255"/>
      <c r="V70" s="257"/>
      <c r="W70" s="257"/>
      <c r="X70" s="255"/>
      <c r="Y70" s="255"/>
      <c r="Z70" s="255"/>
      <c r="AA70" s="255"/>
      <c r="AB70" s="255"/>
      <c r="AC70" s="255"/>
      <c r="AD70" s="255"/>
      <c r="AE70" s="255"/>
      <c r="AF70" s="255"/>
      <c r="AG70" s="255"/>
      <c r="AH70" s="255"/>
      <c r="AI70" s="255"/>
      <c r="AJ70" s="255"/>
      <c r="AK70" s="255"/>
      <c r="AL70" s="255"/>
      <c r="AM70" s="255"/>
      <c r="AN70" s="255"/>
      <c r="AO70" s="255"/>
      <c r="AP70" s="255"/>
      <c r="AQ70" s="255"/>
      <c r="AR70" s="255"/>
      <c r="AS70" s="256"/>
      <c r="AT70" s="256"/>
      <c r="AU70" s="255"/>
      <c r="AV70" s="255"/>
      <c r="AW70" s="255"/>
      <c r="AX70" s="120"/>
      <c r="AY70" s="255"/>
      <c r="AZ70" s="255"/>
      <c r="BA70" s="255"/>
      <c r="BB70" s="255"/>
      <c r="BC70" s="255"/>
      <c r="BD70" s="255"/>
      <c r="BE70" s="255"/>
      <c r="BF70" s="120"/>
      <c r="BG70" s="120"/>
      <c r="BH70" s="255"/>
      <c r="BI70" s="255"/>
      <c r="BJ70" s="255"/>
      <c r="BK70" s="255"/>
      <c r="BL70" s="255"/>
      <c r="BM70" s="255"/>
      <c r="BN70" s="255"/>
      <c r="BO70" s="255"/>
      <c r="BP70" s="255"/>
      <c r="BQ70" s="255"/>
      <c r="BR70" s="255"/>
      <c r="BS70" s="255"/>
      <c r="BT70" s="255"/>
      <c r="BU70" s="255"/>
      <c r="BV70" s="255"/>
      <c r="BW70" s="255"/>
      <c r="BX70" s="255"/>
      <c r="BY70" s="255"/>
      <c r="BZ70" s="255"/>
      <c r="CA70" s="255"/>
      <c r="CB70" s="255"/>
      <c r="CC70" s="255"/>
      <c r="CD70" s="255"/>
      <c r="CE70" s="255"/>
      <c r="CF70" s="255"/>
      <c r="CG70" s="255"/>
      <c r="CH70" s="255"/>
      <c r="CI70" s="255"/>
      <c r="CJ70" s="255"/>
      <c r="CK70" s="255"/>
      <c r="CL70" s="255"/>
      <c r="CM70" s="255"/>
      <c r="CN70" s="255"/>
      <c r="CO70" s="255"/>
      <c r="CP70" s="255"/>
      <c r="CQ70" s="255"/>
      <c r="CR70" s="255"/>
      <c r="CS70" s="255"/>
      <c r="CT70" s="255"/>
      <c r="CU70" s="255"/>
    </row>
    <row r="71" spans="1:255">
      <c r="A71" s="255"/>
      <c r="B71" s="255"/>
      <c r="C71" s="255"/>
      <c r="D71" s="255"/>
      <c r="E71" s="255"/>
      <c r="F71" s="255"/>
      <c r="G71" s="255"/>
      <c r="H71" s="255"/>
      <c r="I71" s="255"/>
      <c r="J71" s="255"/>
      <c r="K71" s="255"/>
      <c r="L71" s="255"/>
      <c r="M71" s="255"/>
      <c r="N71" s="255"/>
      <c r="O71" s="255"/>
      <c r="P71" s="255"/>
      <c r="Q71" s="255"/>
      <c r="R71" s="255"/>
      <c r="S71" s="256"/>
      <c r="T71" s="255"/>
      <c r="U71" s="255"/>
      <c r="V71" s="257"/>
      <c r="W71" s="257"/>
      <c r="X71" s="255"/>
      <c r="Y71" s="255"/>
      <c r="Z71" s="255"/>
      <c r="AA71" s="255"/>
      <c r="AB71" s="255"/>
      <c r="AC71" s="255"/>
      <c r="AD71" s="255"/>
      <c r="AE71" s="255"/>
      <c r="AF71" s="255"/>
      <c r="AG71" s="255"/>
      <c r="AH71" s="255"/>
      <c r="AI71" s="255"/>
      <c r="AJ71" s="255"/>
      <c r="AK71" s="255"/>
      <c r="AL71" s="255"/>
      <c r="AM71" s="255"/>
      <c r="AN71" s="255"/>
      <c r="AO71" s="255"/>
      <c r="AP71" s="255"/>
      <c r="AQ71" s="255"/>
      <c r="AR71" s="255"/>
      <c r="AS71" s="256"/>
      <c r="AT71" s="256"/>
      <c r="AU71" s="255"/>
      <c r="AV71" s="255"/>
      <c r="AW71" s="255"/>
      <c r="AX71" s="120"/>
      <c r="AY71" s="255"/>
      <c r="AZ71" s="255"/>
      <c r="BA71" s="255"/>
      <c r="BB71" s="255"/>
      <c r="BC71" s="255"/>
      <c r="BD71" s="255"/>
      <c r="BE71" s="255"/>
      <c r="BF71" s="120"/>
      <c r="BG71" s="120"/>
      <c r="BH71" s="255"/>
      <c r="BI71" s="255"/>
      <c r="BJ71" s="255"/>
      <c r="BK71" s="255"/>
      <c r="BL71" s="255"/>
      <c r="BM71" s="255"/>
      <c r="BN71" s="255"/>
      <c r="BO71" s="255"/>
      <c r="BP71" s="255"/>
      <c r="BQ71" s="255"/>
      <c r="BR71" s="255"/>
      <c r="BS71" s="255"/>
      <c r="BT71" s="255"/>
      <c r="BU71" s="255"/>
      <c r="BV71" s="255"/>
      <c r="BW71" s="255"/>
      <c r="BX71" s="255"/>
      <c r="BY71" s="255"/>
      <c r="BZ71" s="255"/>
      <c r="CA71" s="255"/>
      <c r="CB71" s="255"/>
      <c r="CC71" s="255"/>
      <c r="CD71" s="255"/>
      <c r="CE71" s="255"/>
      <c r="CF71" s="255"/>
      <c r="CG71" s="255"/>
      <c r="CH71" s="255"/>
      <c r="CI71" s="255"/>
      <c r="CJ71" s="255"/>
      <c r="CK71" s="255"/>
      <c r="CL71" s="255"/>
      <c r="CM71" s="255"/>
      <c r="CN71" s="255"/>
      <c r="CO71" s="255"/>
      <c r="CP71" s="255"/>
      <c r="CQ71" s="255"/>
      <c r="CR71" s="255"/>
      <c r="CS71" s="255"/>
      <c r="CT71" s="255"/>
      <c r="CU71" s="255"/>
    </row>
    <row r="72" spans="1:255">
      <c r="A72" s="255"/>
      <c r="B72" s="255"/>
      <c r="C72" s="255"/>
      <c r="D72" s="255"/>
      <c r="E72" s="255"/>
      <c r="F72" s="255"/>
      <c r="G72" s="255"/>
      <c r="H72" s="255"/>
      <c r="I72" s="255"/>
      <c r="J72" s="255"/>
      <c r="K72" s="255"/>
      <c r="L72" s="255"/>
      <c r="M72" s="255"/>
      <c r="N72" s="255"/>
      <c r="O72" s="255"/>
      <c r="P72" s="255"/>
      <c r="Q72" s="255"/>
      <c r="R72" s="255"/>
      <c r="S72" s="256"/>
      <c r="T72" s="255"/>
      <c r="U72" s="255"/>
      <c r="V72" s="257"/>
      <c r="W72" s="257"/>
      <c r="X72" s="255"/>
      <c r="Y72" s="255"/>
      <c r="Z72" s="255"/>
      <c r="AA72" s="255"/>
      <c r="AB72" s="255"/>
      <c r="AC72" s="255"/>
      <c r="AD72" s="255"/>
      <c r="AE72" s="255"/>
      <c r="AF72" s="255"/>
      <c r="AG72" s="255"/>
      <c r="AH72" s="255"/>
      <c r="AI72" s="255"/>
      <c r="AJ72" s="255"/>
      <c r="AK72" s="255"/>
      <c r="AL72" s="255"/>
      <c r="AM72" s="255"/>
      <c r="AN72" s="255"/>
      <c r="AO72" s="255"/>
      <c r="AP72" s="255"/>
      <c r="AQ72" s="255"/>
      <c r="AR72" s="255"/>
      <c r="AS72" s="256"/>
      <c r="AT72" s="256"/>
      <c r="AU72" s="255"/>
      <c r="AV72" s="255"/>
      <c r="AW72" s="255"/>
      <c r="AX72" s="120"/>
      <c r="AY72" s="255"/>
      <c r="AZ72" s="255"/>
      <c r="BA72" s="255"/>
      <c r="BB72" s="255"/>
      <c r="BC72" s="255"/>
      <c r="BD72" s="255"/>
      <c r="BE72" s="255"/>
      <c r="BF72" s="120"/>
      <c r="BG72" s="120"/>
      <c r="BH72" s="255"/>
      <c r="BI72" s="255"/>
      <c r="BJ72" s="255"/>
      <c r="BK72" s="255"/>
      <c r="BL72" s="255"/>
      <c r="BM72" s="255"/>
      <c r="BN72" s="255"/>
      <c r="BO72" s="255"/>
      <c r="BP72" s="255"/>
      <c r="BQ72" s="255"/>
      <c r="BR72" s="255"/>
      <c r="BS72" s="255"/>
      <c r="BT72" s="255"/>
      <c r="BU72" s="255"/>
      <c r="BV72" s="255"/>
      <c r="BW72" s="255"/>
      <c r="BX72" s="255"/>
      <c r="BY72" s="255"/>
      <c r="BZ72" s="255"/>
      <c r="CA72" s="255"/>
      <c r="CB72" s="255"/>
      <c r="CC72" s="255"/>
      <c r="CD72" s="255"/>
      <c r="CE72" s="255"/>
      <c r="CF72" s="255"/>
      <c r="CG72" s="255"/>
      <c r="CH72" s="255"/>
      <c r="CI72" s="255"/>
      <c r="CJ72" s="255"/>
      <c r="CK72" s="255"/>
      <c r="CL72" s="255"/>
      <c r="CM72" s="255"/>
      <c r="CN72" s="255"/>
      <c r="CO72" s="255"/>
      <c r="CP72" s="255"/>
      <c r="CQ72" s="255"/>
      <c r="CR72" s="255"/>
      <c r="CS72" s="255"/>
      <c r="CT72" s="255"/>
      <c r="CU72" s="255"/>
    </row>
    <row r="73" spans="1:255">
      <c r="A73" s="255"/>
      <c r="B73" s="255"/>
      <c r="C73" s="255"/>
      <c r="D73" s="255"/>
      <c r="E73" s="255"/>
      <c r="F73" s="255"/>
      <c r="G73" s="255"/>
      <c r="H73" s="255"/>
      <c r="I73" s="255"/>
      <c r="J73" s="255"/>
      <c r="K73" s="255"/>
      <c r="L73" s="255"/>
      <c r="M73" s="255"/>
      <c r="N73" s="255"/>
      <c r="O73" s="255"/>
      <c r="P73" s="255"/>
      <c r="Q73" s="255"/>
      <c r="R73" s="255"/>
      <c r="S73" s="256"/>
      <c r="T73" s="255"/>
      <c r="U73" s="255"/>
      <c r="V73" s="257"/>
      <c r="W73" s="257"/>
      <c r="X73" s="255"/>
      <c r="Y73" s="255"/>
      <c r="Z73" s="255"/>
      <c r="AA73" s="255"/>
      <c r="AB73" s="255"/>
      <c r="AC73" s="255"/>
      <c r="AD73" s="255"/>
      <c r="AE73" s="255"/>
      <c r="AF73" s="255"/>
      <c r="AG73" s="255"/>
      <c r="AH73" s="255"/>
      <c r="AI73" s="255"/>
      <c r="AJ73" s="255"/>
      <c r="AK73" s="255"/>
      <c r="AL73" s="255"/>
      <c r="AM73" s="255"/>
      <c r="AN73" s="255"/>
      <c r="AO73" s="255"/>
      <c r="AP73" s="255"/>
      <c r="AQ73" s="255"/>
      <c r="AR73" s="255"/>
      <c r="AS73" s="256"/>
      <c r="AT73" s="256"/>
      <c r="AU73" s="255"/>
      <c r="AV73" s="255"/>
      <c r="AW73" s="255"/>
      <c r="AX73" s="120"/>
      <c r="AY73" s="255"/>
      <c r="AZ73" s="255"/>
      <c r="BA73" s="255"/>
      <c r="BB73" s="255"/>
      <c r="BC73" s="255"/>
      <c r="BD73" s="255"/>
      <c r="BE73" s="255"/>
      <c r="BF73" s="120"/>
      <c r="BG73" s="120"/>
      <c r="BH73" s="255"/>
      <c r="BI73" s="255"/>
      <c r="BJ73" s="255"/>
      <c r="BK73" s="255"/>
      <c r="BL73" s="255"/>
      <c r="BM73" s="255"/>
      <c r="BN73" s="255"/>
      <c r="BO73" s="255"/>
      <c r="BP73" s="255"/>
      <c r="BQ73" s="255"/>
      <c r="BR73" s="255"/>
      <c r="BS73" s="255"/>
      <c r="BT73" s="255"/>
      <c r="BU73" s="255"/>
      <c r="BV73" s="255"/>
      <c r="BW73" s="255"/>
      <c r="BX73" s="255"/>
      <c r="BY73" s="255"/>
      <c r="BZ73" s="255"/>
      <c r="CA73" s="255"/>
      <c r="CB73" s="255"/>
      <c r="CC73" s="255"/>
      <c r="CD73" s="255"/>
      <c r="CE73" s="255"/>
      <c r="CF73" s="255"/>
      <c r="CG73" s="255"/>
      <c r="CH73" s="255"/>
      <c r="CI73" s="255"/>
      <c r="CJ73" s="255"/>
      <c r="CK73" s="255"/>
      <c r="CL73" s="255"/>
      <c r="CM73" s="255"/>
      <c r="CN73" s="255"/>
      <c r="CO73" s="255"/>
      <c r="CP73" s="255"/>
      <c r="CQ73" s="255"/>
      <c r="CR73" s="255"/>
      <c r="CS73" s="255"/>
      <c r="CT73" s="255"/>
      <c r="CU73" s="255"/>
    </row>
    <row r="74" spans="1:255">
      <c r="A74" s="255"/>
      <c r="B74" s="255"/>
      <c r="C74" s="255"/>
      <c r="D74" s="255"/>
      <c r="E74" s="255"/>
      <c r="F74" s="255"/>
      <c r="G74" s="255"/>
      <c r="H74" s="255"/>
      <c r="I74" s="255"/>
      <c r="J74" s="255"/>
      <c r="K74" s="255"/>
      <c r="L74" s="255"/>
      <c r="M74" s="255"/>
      <c r="N74" s="255"/>
      <c r="O74" s="255"/>
      <c r="P74" s="255"/>
      <c r="Q74" s="255"/>
      <c r="R74" s="255"/>
      <c r="S74" s="256"/>
      <c r="T74" s="255"/>
      <c r="U74" s="255"/>
      <c r="V74" s="257"/>
      <c r="W74" s="257"/>
      <c r="X74" s="255"/>
      <c r="Y74" s="255"/>
      <c r="Z74" s="255"/>
      <c r="AA74" s="255"/>
      <c r="AB74" s="255"/>
      <c r="AC74" s="255"/>
      <c r="AD74" s="255"/>
      <c r="AE74" s="255"/>
      <c r="AF74" s="255"/>
      <c r="AG74" s="255"/>
      <c r="AH74" s="255"/>
      <c r="AI74" s="255"/>
      <c r="AJ74" s="255"/>
      <c r="AK74" s="255"/>
      <c r="AL74" s="255"/>
      <c r="AM74" s="255"/>
      <c r="AN74" s="255"/>
      <c r="AO74" s="255"/>
      <c r="AP74" s="255"/>
      <c r="AQ74" s="255"/>
      <c r="AR74" s="255"/>
      <c r="AS74" s="256"/>
      <c r="AT74" s="256"/>
      <c r="AU74" s="255"/>
      <c r="AV74" s="255"/>
      <c r="AW74" s="255"/>
      <c r="AX74" s="120"/>
      <c r="AY74" s="255"/>
      <c r="AZ74" s="255"/>
      <c r="BA74" s="255"/>
      <c r="BB74" s="255"/>
      <c r="BC74" s="255"/>
      <c r="BD74" s="255"/>
      <c r="BE74" s="255"/>
      <c r="BF74" s="120"/>
      <c r="BG74" s="120"/>
      <c r="BH74" s="255"/>
      <c r="BI74" s="255"/>
      <c r="BJ74" s="255"/>
      <c r="BK74" s="255"/>
      <c r="BL74" s="255"/>
      <c r="BM74" s="255"/>
      <c r="BN74" s="255"/>
      <c r="BO74" s="255"/>
      <c r="BP74" s="255"/>
      <c r="BQ74" s="255"/>
      <c r="BR74" s="255"/>
      <c r="BS74" s="255"/>
      <c r="BT74" s="255"/>
      <c r="BU74" s="255"/>
      <c r="BV74" s="255"/>
      <c r="BW74" s="255"/>
      <c r="BX74" s="255"/>
      <c r="BY74" s="255"/>
      <c r="BZ74" s="255"/>
      <c r="CA74" s="255"/>
      <c r="CB74" s="255"/>
      <c r="CC74" s="255"/>
      <c r="CD74" s="255"/>
      <c r="CE74" s="255"/>
      <c r="CF74" s="255"/>
      <c r="CG74" s="255"/>
      <c r="CH74" s="255"/>
      <c r="CI74" s="255"/>
      <c r="CJ74" s="255"/>
      <c r="CK74" s="255"/>
      <c r="CL74" s="255"/>
      <c r="CM74" s="255"/>
      <c r="CN74" s="255"/>
      <c r="CO74" s="255"/>
      <c r="CP74" s="255"/>
      <c r="CQ74" s="255"/>
      <c r="CR74" s="255"/>
      <c r="CS74" s="255"/>
      <c r="CT74" s="255"/>
      <c r="CU74" s="255"/>
    </row>
    <row r="75" spans="1:255">
      <c r="A75" s="255"/>
      <c r="B75" s="255"/>
      <c r="C75" s="255"/>
      <c r="D75" s="255"/>
      <c r="E75" s="255"/>
      <c r="F75" s="255"/>
      <c r="G75" s="255"/>
      <c r="H75" s="255"/>
      <c r="I75" s="255"/>
      <c r="J75" s="255"/>
      <c r="K75" s="255"/>
      <c r="L75" s="255"/>
      <c r="M75" s="255"/>
      <c r="N75" s="255"/>
      <c r="O75" s="255"/>
      <c r="P75" s="255"/>
      <c r="Q75" s="255"/>
      <c r="R75" s="255"/>
      <c r="S75" s="256"/>
      <c r="T75" s="255"/>
      <c r="U75" s="255"/>
      <c r="V75" s="257"/>
      <c r="W75" s="257"/>
      <c r="X75" s="255"/>
      <c r="Y75" s="255"/>
      <c r="Z75" s="255"/>
      <c r="AA75" s="255"/>
      <c r="AB75" s="255"/>
      <c r="AC75" s="255"/>
      <c r="AD75" s="255"/>
      <c r="AE75" s="255"/>
      <c r="AF75" s="255"/>
      <c r="AG75" s="255"/>
      <c r="AH75" s="255"/>
      <c r="AI75" s="255"/>
      <c r="AJ75" s="255"/>
      <c r="AK75" s="255"/>
      <c r="AL75" s="255"/>
      <c r="AM75" s="255"/>
      <c r="AN75" s="255"/>
      <c r="AO75" s="255"/>
      <c r="AP75" s="255"/>
      <c r="AQ75" s="255"/>
      <c r="AR75" s="255"/>
      <c r="AS75" s="256"/>
      <c r="AT75" s="256"/>
      <c r="AU75" s="255"/>
      <c r="AV75" s="255"/>
      <c r="AW75" s="255"/>
      <c r="AX75" s="120"/>
      <c r="AY75" s="255"/>
      <c r="AZ75" s="255"/>
      <c r="BA75" s="255"/>
      <c r="BB75" s="255"/>
      <c r="BC75" s="255"/>
      <c r="BD75" s="255"/>
      <c r="BE75" s="255"/>
      <c r="BF75" s="120"/>
      <c r="BG75" s="120"/>
      <c r="BH75" s="255"/>
      <c r="BI75" s="255"/>
      <c r="BJ75" s="255"/>
      <c r="BK75" s="255"/>
      <c r="BL75" s="255"/>
      <c r="BM75" s="255"/>
      <c r="BN75" s="255"/>
      <c r="BO75" s="255"/>
      <c r="BP75" s="255"/>
      <c r="BQ75" s="255"/>
      <c r="BR75" s="255"/>
      <c r="BS75" s="255"/>
      <c r="BT75" s="255"/>
      <c r="BU75" s="255"/>
      <c r="BV75" s="255"/>
      <c r="BW75" s="255"/>
      <c r="BX75" s="255"/>
      <c r="BY75" s="255"/>
      <c r="BZ75" s="255"/>
      <c r="CA75" s="255"/>
      <c r="CB75" s="255"/>
      <c r="CC75" s="255"/>
      <c r="CD75" s="255"/>
      <c r="CE75" s="255"/>
      <c r="CF75" s="255"/>
      <c r="CG75" s="255"/>
      <c r="CH75" s="255"/>
      <c r="CI75" s="255"/>
      <c r="CJ75" s="255"/>
      <c r="CK75" s="255"/>
      <c r="CL75" s="255"/>
      <c r="CM75" s="255"/>
      <c r="CN75" s="255"/>
      <c r="CO75" s="255"/>
      <c r="CP75" s="255"/>
      <c r="CQ75" s="255"/>
      <c r="CR75" s="255"/>
      <c r="CS75" s="255"/>
      <c r="CT75" s="255"/>
      <c r="CU75" s="255"/>
    </row>
    <row r="76" spans="1:255">
      <c r="A76" s="255"/>
      <c r="B76" s="255"/>
      <c r="C76" s="255"/>
      <c r="D76" s="255"/>
      <c r="E76" s="255"/>
      <c r="F76" s="255"/>
      <c r="G76" s="255"/>
      <c r="H76" s="255"/>
      <c r="I76" s="255"/>
      <c r="J76" s="255"/>
      <c r="K76" s="255"/>
      <c r="L76" s="255"/>
      <c r="M76" s="255"/>
      <c r="N76" s="255"/>
      <c r="O76" s="255"/>
      <c r="P76" s="255"/>
      <c r="Q76" s="255"/>
      <c r="R76" s="255"/>
      <c r="S76" s="256"/>
      <c r="T76" s="255"/>
      <c r="U76" s="255"/>
      <c r="V76" s="257"/>
      <c r="W76" s="257"/>
      <c r="X76" s="255"/>
      <c r="Y76" s="255"/>
      <c r="Z76" s="255"/>
      <c r="AA76" s="255"/>
      <c r="AB76" s="255"/>
      <c r="AC76" s="255"/>
      <c r="AD76" s="255"/>
      <c r="AE76" s="255"/>
      <c r="AF76" s="255"/>
      <c r="AG76" s="255"/>
      <c r="AH76" s="255"/>
      <c r="AI76" s="255"/>
      <c r="AJ76" s="255"/>
      <c r="AK76" s="255"/>
      <c r="AL76" s="255"/>
      <c r="AM76" s="255"/>
      <c r="AN76" s="255"/>
      <c r="AO76" s="255"/>
      <c r="AP76" s="255"/>
      <c r="AQ76" s="255"/>
      <c r="AR76" s="255"/>
      <c r="AS76" s="256"/>
      <c r="AT76" s="256"/>
      <c r="AU76" s="255"/>
      <c r="AV76" s="255"/>
      <c r="AW76" s="255"/>
      <c r="AX76" s="120"/>
      <c r="AY76" s="255"/>
      <c r="AZ76" s="255"/>
      <c r="BA76" s="255"/>
      <c r="BB76" s="255"/>
      <c r="BC76" s="255"/>
      <c r="BD76" s="255"/>
      <c r="BE76" s="255"/>
      <c r="BF76" s="120"/>
      <c r="BG76" s="120"/>
      <c r="BH76" s="255"/>
      <c r="BI76" s="255"/>
      <c r="BJ76" s="255"/>
      <c r="BK76" s="255"/>
      <c r="BL76" s="255"/>
      <c r="BM76" s="255"/>
      <c r="BN76" s="255"/>
      <c r="BO76" s="255"/>
      <c r="BP76" s="255"/>
      <c r="BQ76" s="255"/>
      <c r="BR76" s="255"/>
      <c r="BS76" s="255"/>
      <c r="BT76" s="255"/>
      <c r="BU76" s="255"/>
      <c r="BV76" s="255"/>
      <c r="BW76" s="255"/>
      <c r="BX76" s="255"/>
      <c r="BY76" s="255"/>
      <c r="BZ76" s="255"/>
      <c r="CA76" s="255"/>
      <c r="CB76" s="255"/>
      <c r="CC76" s="255"/>
      <c r="CD76" s="255"/>
      <c r="CE76" s="255"/>
      <c r="CF76" s="255"/>
      <c r="CG76" s="255"/>
      <c r="CH76" s="255"/>
      <c r="CI76" s="255"/>
      <c r="CJ76" s="255"/>
      <c r="CK76" s="255"/>
      <c r="CL76" s="255"/>
      <c r="CM76" s="255"/>
      <c r="CN76" s="255"/>
      <c r="CO76" s="255"/>
      <c r="CP76" s="255"/>
      <c r="CQ76" s="255"/>
      <c r="CR76" s="255"/>
      <c r="CS76" s="255"/>
      <c r="CT76" s="255"/>
      <c r="CU76" s="255"/>
    </row>
    <row r="77" spans="1:255">
      <c r="A77" s="255"/>
      <c r="B77" s="255"/>
      <c r="C77" s="255"/>
      <c r="D77" s="255"/>
      <c r="E77" s="255"/>
      <c r="F77" s="255"/>
      <c r="G77" s="255"/>
      <c r="H77" s="255"/>
      <c r="I77" s="255"/>
      <c r="J77" s="255"/>
      <c r="K77" s="255"/>
      <c r="L77" s="255"/>
      <c r="M77" s="255"/>
      <c r="N77" s="255"/>
      <c r="O77" s="255"/>
      <c r="P77" s="255"/>
      <c r="Q77" s="255"/>
      <c r="R77" s="255"/>
      <c r="S77" s="256"/>
      <c r="T77" s="255"/>
      <c r="U77" s="255"/>
      <c r="V77" s="257"/>
      <c r="W77" s="257"/>
      <c r="X77" s="255"/>
      <c r="Y77" s="255"/>
      <c r="Z77" s="255"/>
      <c r="AA77" s="255"/>
      <c r="AB77" s="255"/>
      <c r="AC77" s="255"/>
      <c r="AD77" s="255"/>
      <c r="AE77" s="255"/>
      <c r="AF77" s="255"/>
      <c r="AG77" s="255"/>
      <c r="AH77" s="255"/>
      <c r="AI77" s="255"/>
      <c r="AJ77" s="255"/>
      <c r="AK77" s="255"/>
      <c r="AL77" s="255"/>
      <c r="AM77" s="255"/>
      <c r="AN77" s="255"/>
      <c r="AO77" s="255"/>
      <c r="AP77" s="255"/>
      <c r="AQ77" s="255"/>
      <c r="AR77" s="255"/>
      <c r="AS77" s="256"/>
      <c r="AT77" s="256"/>
      <c r="AU77" s="255"/>
      <c r="AV77" s="255"/>
      <c r="AW77" s="255"/>
      <c r="AX77" s="120"/>
      <c r="AY77" s="255"/>
      <c r="AZ77" s="255"/>
      <c r="BA77" s="255"/>
      <c r="BB77" s="255"/>
      <c r="BC77" s="255"/>
      <c r="BD77" s="255"/>
      <c r="BE77" s="255"/>
      <c r="BF77" s="120"/>
      <c r="BG77" s="120"/>
      <c r="BH77" s="255"/>
      <c r="BI77" s="255"/>
      <c r="BJ77" s="255"/>
      <c r="BK77" s="255"/>
      <c r="BL77" s="255"/>
      <c r="BM77" s="255"/>
      <c r="BN77" s="255"/>
      <c r="BO77" s="255"/>
      <c r="BP77" s="255"/>
      <c r="BQ77" s="255"/>
      <c r="BR77" s="255"/>
      <c r="BS77" s="255"/>
      <c r="BT77" s="255"/>
      <c r="BU77" s="255"/>
      <c r="BV77" s="255"/>
      <c r="BW77" s="255"/>
      <c r="BX77" s="255"/>
      <c r="BY77" s="255"/>
      <c r="BZ77" s="255"/>
      <c r="CA77" s="255"/>
      <c r="CB77" s="255"/>
      <c r="CC77" s="255"/>
      <c r="CD77" s="255"/>
      <c r="CE77" s="255"/>
      <c r="CF77" s="255"/>
      <c r="CG77" s="255"/>
      <c r="CH77" s="255"/>
      <c r="CI77" s="255"/>
      <c r="CJ77" s="255"/>
      <c r="CK77" s="255"/>
      <c r="CL77" s="255"/>
      <c r="CM77" s="255"/>
      <c r="CN77" s="255"/>
      <c r="CO77" s="255"/>
      <c r="CP77" s="255"/>
      <c r="CQ77" s="255"/>
      <c r="CR77" s="255"/>
      <c r="CS77" s="255"/>
      <c r="CT77" s="255"/>
      <c r="CU77" s="255"/>
    </row>
    <row r="78" spans="1:255">
      <c r="A78" s="255"/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  <c r="M78" s="255"/>
      <c r="N78" s="255"/>
      <c r="O78" s="255"/>
      <c r="P78" s="255"/>
      <c r="Q78" s="255"/>
      <c r="R78" s="255"/>
      <c r="S78" s="256"/>
      <c r="T78" s="255"/>
      <c r="U78" s="255"/>
      <c r="V78" s="257"/>
      <c r="W78" s="257"/>
      <c r="X78" s="255"/>
      <c r="Y78" s="255"/>
      <c r="Z78" s="255"/>
      <c r="AA78" s="255"/>
      <c r="AB78" s="255"/>
      <c r="AC78" s="255"/>
      <c r="AD78" s="255"/>
      <c r="AE78" s="255"/>
      <c r="AF78" s="255"/>
      <c r="AG78" s="255"/>
      <c r="AH78" s="255"/>
      <c r="AI78" s="255"/>
      <c r="AJ78" s="255"/>
      <c r="AK78" s="255"/>
      <c r="AL78" s="255"/>
      <c r="AM78" s="255"/>
      <c r="AN78" s="255"/>
      <c r="AO78" s="255"/>
      <c r="AP78" s="255"/>
      <c r="AQ78" s="255"/>
      <c r="AR78" s="255"/>
      <c r="AS78" s="256"/>
      <c r="AT78" s="256"/>
      <c r="AU78" s="255"/>
      <c r="AV78" s="255"/>
      <c r="AW78" s="255"/>
      <c r="AX78" s="120"/>
      <c r="AY78" s="255"/>
      <c r="AZ78" s="255"/>
      <c r="BA78" s="255"/>
      <c r="BB78" s="255"/>
      <c r="BC78" s="255"/>
      <c r="BD78" s="255"/>
      <c r="BE78" s="255"/>
      <c r="BF78" s="120"/>
      <c r="BG78" s="120"/>
      <c r="BH78" s="255"/>
      <c r="BI78" s="255"/>
      <c r="BJ78" s="255"/>
      <c r="BK78" s="255"/>
      <c r="BL78" s="255"/>
      <c r="BM78" s="255"/>
      <c r="BN78" s="255"/>
      <c r="BO78" s="255"/>
      <c r="BP78" s="255"/>
      <c r="BQ78" s="255"/>
      <c r="BR78" s="255"/>
      <c r="BS78" s="255"/>
      <c r="BT78" s="255"/>
      <c r="BU78" s="255"/>
      <c r="BV78" s="255"/>
      <c r="BW78" s="255"/>
      <c r="BX78" s="255"/>
      <c r="BY78" s="255"/>
      <c r="BZ78" s="255"/>
      <c r="CA78" s="255"/>
      <c r="CB78" s="255"/>
      <c r="CC78" s="255"/>
      <c r="CD78" s="255"/>
      <c r="CE78" s="255"/>
      <c r="CF78" s="255"/>
      <c r="CG78" s="255"/>
      <c r="CH78" s="255"/>
      <c r="CI78" s="255"/>
      <c r="CJ78" s="255"/>
      <c r="CK78" s="255"/>
      <c r="CL78" s="255"/>
      <c r="CM78" s="255"/>
      <c r="CN78" s="255"/>
      <c r="CO78" s="255"/>
      <c r="CP78" s="255"/>
      <c r="CQ78" s="255"/>
      <c r="CR78" s="255"/>
      <c r="CS78" s="255"/>
      <c r="CT78" s="255"/>
      <c r="CU78" s="255"/>
    </row>
    <row r="79" spans="1:255">
      <c r="A79" s="255"/>
      <c r="B79" s="255"/>
      <c r="C79" s="255"/>
      <c r="D79" s="255"/>
      <c r="E79" s="255"/>
      <c r="F79" s="255"/>
      <c r="G79" s="255"/>
      <c r="H79" s="255"/>
      <c r="I79" s="255"/>
      <c r="J79" s="255"/>
      <c r="K79" s="255"/>
      <c r="L79" s="255"/>
      <c r="M79" s="255"/>
      <c r="N79" s="255"/>
      <c r="O79" s="255"/>
      <c r="P79" s="255"/>
      <c r="Q79" s="255"/>
      <c r="R79" s="255"/>
      <c r="S79" s="256"/>
      <c r="T79" s="255"/>
      <c r="U79" s="255"/>
      <c r="V79" s="257"/>
      <c r="W79" s="257"/>
      <c r="X79" s="255"/>
      <c r="Y79" s="255"/>
      <c r="Z79" s="255"/>
      <c r="AA79" s="255"/>
      <c r="AB79" s="255"/>
      <c r="AC79" s="255"/>
      <c r="AD79" s="255"/>
      <c r="AE79" s="255"/>
      <c r="AF79" s="255"/>
      <c r="AG79" s="255"/>
      <c r="AH79" s="255"/>
      <c r="AI79" s="255"/>
      <c r="AJ79" s="255"/>
      <c r="AK79" s="255"/>
      <c r="AL79" s="255"/>
      <c r="AM79" s="255"/>
      <c r="AN79" s="255"/>
      <c r="AO79" s="255"/>
      <c r="AP79" s="255"/>
      <c r="AQ79" s="255"/>
      <c r="AR79" s="255"/>
      <c r="AS79" s="256"/>
      <c r="AT79" s="256"/>
      <c r="AU79" s="255"/>
      <c r="AV79" s="255"/>
      <c r="AW79" s="255"/>
      <c r="AX79" s="120"/>
      <c r="AY79" s="255"/>
      <c r="AZ79" s="255"/>
      <c r="BA79" s="255"/>
      <c r="BB79" s="255"/>
      <c r="BC79" s="255"/>
      <c r="BD79" s="255"/>
      <c r="BE79" s="255"/>
      <c r="BF79" s="120"/>
      <c r="BG79" s="120"/>
      <c r="BH79" s="255"/>
      <c r="BI79" s="255"/>
      <c r="BJ79" s="255"/>
      <c r="BK79" s="255"/>
      <c r="BL79" s="255"/>
      <c r="BM79" s="255"/>
      <c r="BN79" s="255"/>
      <c r="BO79" s="255"/>
      <c r="BP79" s="255"/>
      <c r="BQ79" s="255"/>
      <c r="BR79" s="255"/>
      <c r="BS79" s="255"/>
      <c r="BT79" s="255"/>
      <c r="BU79" s="255"/>
      <c r="BV79" s="255"/>
      <c r="BW79" s="255"/>
      <c r="BX79" s="255"/>
      <c r="BY79" s="255"/>
      <c r="BZ79" s="255"/>
      <c r="CA79" s="255"/>
      <c r="CB79" s="255"/>
      <c r="CC79" s="255"/>
      <c r="CD79" s="255"/>
      <c r="CE79" s="255"/>
      <c r="CF79" s="255"/>
      <c r="CG79" s="255"/>
      <c r="CH79" s="255"/>
      <c r="CI79" s="255"/>
      <c r="CJ79" s="255"/>
      <c r="CK79" s="255"/>
      <c r="CL79" s="255"/>
      <c r="CM79" s="255"/>
      <c r="CN79" s="255"/>
      <c r="CO79" s="255"/>
      <c r="CP79" s="255"/>
      <c r="CQ79" s="255"/>
      <c r="CR79" s="255"/>
      <c r="CS79" s="255"/>
      <c r="CT79" s="255"/>
      <c r="CU79" s="255"/>
    </row>
    <row r="80" spans="1:255">
      <c r="A80" s="255"/>
      <c r="B80" s="255"/>
      <c r="C80" s="255"/>
      <c r="D80" s="255"/>
      <c r="E80" s="255"/>
      <c r="F80" s="255"/>
      <c r="G80" s="255"/>
      <c r="H80" s="255"/>
      <c r="I80" s="255"/>
      <c r="J80" s="255"/>
      <c r="K80" s="255"/>
      <c r="L80" s="255"/>
      <c r="M80" s="255"/>
      <c r="N80" s="255"/>
      <c r="O80" s="255"/>
      <c r="P80" s="255"/>
      <c r="Q80" s="255"/>
      <c r="R80" s="255"/>
      <c r="S80" s="256"/>
      <c r="T80" s="255"/>
      <c r="U80" s="255"/>
      <c r="V80" s="257"/>
      <c r="W80" s="257"/>
      <c r="X80" s="255"/>
      <c r="Y80" s="255"/>
      <c r="Z80" s="255"/>
      <c r="AA80" s="255"/>
      <c r="AB80" s="255"/>
      <c r="AC80" s="255"/>
      <c r="AD80" s="255"/>
      <c r="AE80" s="255"/>
      <c r="AF80" s="255"/>
      <c r="AG80" s="255"/>
      <c r="AH80" s="255"/>
      <c r="AI80" s="255"/>
      <c r="AJ80" s="255"/>
      <c r="AK80" s="255"/>
      <c r="AL80" s="255"/>
      <c r="AM80" s="255"/>
      <c r="AN80" s="255"/>
      <c r="AO80" s="255"/>
      <c r="AP80" s="255"/>
      <c r="AQ80" s="255"/>
      <c r="AR80" s="255"/>
      <c r="AS80" s="256"/>
      <c r="AT80" s="256"/>
      <c r="AU80" s="255"/>
      <c r="AV80" s="255"/>
      <c r="AW80" s="255"/>
      <c r="AX80" s="120"/>
      <c r="AY80" s="255"/>
      <c r="AZ80" s="255"/>
      <c r="BA80" s="255"/>
      <c r="BB80" s="255"/>
      <c r="BC80" s="255"/>
      <c r="BD80" s="255"/>
      <c r="BE80" s="255"/>
      <c r="BF80" s="120"/>
      <c r="BG80" s="120"/>
      <c r="BH80" s="255"/>
      <c r="BI80" s="255"/>
      <c r="BJ80" s="255"/>
      <c r="BK80" s="255"/>
      <c r="BL80" s="255"/>
      <c r="BM80" s="255"/>
      <c r="BN80" s="255"/>
      <c r="BO80" s="255"/>
      <c r="BP80" s="255"/>
      <c r="BQ80" s="255"/>
      <c r="BR80" s="255"/>
      <c r="BS80" s="255"/>
      <c r="BT80" s="255"/>
      <c r="BU80" s="255"/>
      <c r="BV80" s="255"/>
      <c r="BW80" s="255"/>
      <c r="BX80" s="255"/>
      <c r="BY80" s="255"/>
      <c r="BZ80" s="255"/>
      <c r="CA80" s="255"/>
      <c r="CB80" s="255"/>
      <c r="CC80" s="255"/>
      <c r="CD80" s="255"/>
      <c r="CE80" s="255"/>
      <c r="CF80" s="255"/>
      <c r="CG80" s="255"/>
      <c r="CH80" s="255"/>
      <c r="CI80" s="255"/>
      <c r="CJ80" s="255"/>
      <c r="CK80" s="255"/>
      <c r="CL80" s="255"/>
      <c r="CM80" s="255"/>
      <c r="CN80" s="255"/>
      <c r="CO80" s="255"/>
      <c r="CP80" s="255"/>
      <c r="CQ80" s="255"/>
      <c r="CR80" s="255"/>
      <c r="CS80" s="255"/>
      <c r="CT80" s="255"/>
      <c r="CU80" s="255"/>
    </row>
    <row r="81" spans="1:255">
      <c r="A81" s="255"/>
      <c r="B81" s="255"/>
      <c r="C81" s="255"/>
      <c r="D81" s="255"/>
      <c r="E81" s="255"/>
      <c r="F81" s="255"/>
      <c r="G81" s="255"/>
      <c r="H81" s="255"/>
      <c r="I81" s="255"/>
      <c r="J81" s="255"/>
      <c r="K81" s="255"/>
      <c r="L81" s="255"/>
      <c r="M81" s="255"/>
      <c r="N81" s="255"/>
      <c r="O81" s="255"/>
      <c r="P81" s="255"/>
      <c r="Q81" s="255"/>
      <c r="R81" s="255"/>
      <c r="S81" s="256"/>
      <c r="T81" s="255"/>
      <c r="U81" s="255"/>
      <c r="V81" s="257"/>
      <c r="W81" s="257"/>
      <c r="X81" s="255"/>
      <c r="Y81" s="255"/>
      <c r="Z81" s="255"/>
      <c r="AA81" s="255"/>
      <c r="AB81" s="255"/>
      <c r="AC81" s="255"/>
      <c r="AD81" s="255"/>
      <c r="AE81" s="255"/>
      <c r="AF81" s="255"/>
      <c r="AG81" s="255"/>
      <c r="AH81" s="255"/>
      <c r="AI81" s="255"/>
      <c r="AJ81" s="255"/>
      <c r="AK81" s="255"/>
      <c r="AL81" s="255"/>
      <c r="AM81" s="255"/>
      <c r="AN81" s="255"/>
      <c r="AO81" s="255"/>
      <c r="AP81" s="255"/>
      <c r="AQ81" s="255"/>
      <c r="AR81" s="255"/>
      <c r="AS81" s="256"/>
      <c r="AT81" s="256"/>
      <c r="AU81" s="255"/>
      <c r="AV81" s="255"/>
      <c r="AW81" s="255"/>
      <c r="AX81" s="120"/>
      <c r="AY81" s="255"/>
      <c r="AZ81" s="255"/>
      <c r="BA81" s="255"/>
      <c r="BB81" s="255"/>
      <c r="BC81" s="255"/>
      <c r="BD81" s="255"/>
      <c r="BE81" s="255"/>
      <c r="BF81" s="120"/>
      <c r="BG81" s="120"/>
      <c r="BH81" s="255"/>
      <c r="BI81" s="255"/>
      <c r="BJ81" s="255"/>
      <c r="BK81" s="255"/>
      <c r="BL81" s="255"/>
      <c r="BM81" s="255"/>
      <c r="BN81" s="255"/>
      <c r="BO81" s="255"/>
      <c r="BP81" s="255"/>
      <c r="BQ81" s="255"/>
      <c r="BR81" s="255"/>
      <c r="BS81" s="255"/>
      <c r="BT81" s="255"/>
      <c r="BU81" s="255"/>
      <c r="BV81" s="255"/>
      <c r="BW81" s="255"/>
      <c r="BX81" s="255"/>
      <c r="BY81" s="255"/>
      <c r="BZ81" s="255"/>
      <c r="CA81" s="255"/>
      <c r="CB81" s="255"/>
      <c r="CC81" s="255"/>
      <c r="CD81" s="255"/>
      <c r="CE81" s="255"/>
      <c r="CF81" s="255"/>
      <c r="CG81" s="255"/>
      <c r="CH81" s="255"/>
      <c r="CI81" s="255"/>
      <c r="CJ81" s="255"/>
      <c r="CK81" s="255"/>
      <c r="CL81" s="255"/>
      <c r="CM81" s="255"/>
      <c r="CN81" s="255"/>
      <c r="CO81" s="255"/>
      <c r="CP81" s="255"/>
      <c r="CQ81" s="255"/>
      <c r="CR81" s="255"/>
      <c r="CS81" s="255"/>
      <c r="CT81" s="255"/>
      <c r="CU81" s="255"/>
    </row>
    <row r="82" spans="1:255">
      <c r="A82" s="255"/>
      <c r="B82" s="255"/>
      <c r="C82" s="255"/>
      <c r="D82" s="255"/>
      <c r="E82" s="255"/>
      <c r="F82" s="255"/>
      <c r="G82" s="255"/>
      <c r="H82" s="255"/>
      <c r="I82" s="255"/>
      <c r="J82" s="255"/>
      <c r="K82" s="255"/>
      <c r="L82" s="255"/>
      <c r="M82" s="255"/>
      <c r="N82" s="255"/>
      <c r="O82" s="255"/>
      <c r="P82" s="255"/>
      <c r="Q82" s="255"/>
      <c r="R82" s="255"/>
      <c r="S82" s="256"/>
      <c r="T82" s="255"/>
      <c r="U82" s="255"/>
      <c r="V82" s="257"/>
      <c r="W82" s="257"/>
      <c r="X82" s="255"/>
      <c r="Y82" s="255"/>
      <c r="Z82" s="255"/>
      <c r="AA82" s="255"/>
      <c r="AB82" s="255"/>
      <c r="AC82" s="255"/>
      <c r="AD82" s="255"/>
      <c r="AE82" s="255"/>
      <c r="AF82" s="255"/>
      <c r="AG82" s="255"/>
      <c r="AH82" s="255"/>
      <c r="AI82" s="255"/>
      <c r="AJ82" s="255"/>
      <c r="AK82" s="255"/>
      <c r="AL82" s="255"/>
      <c r="AM82" s="255"/>
      <c r="AN82" s="255"/>
      <c r="AO82" s="255"/>
      <c r="AP82" s="255"/>
      <c r="AQ82" s="255"/>
      <c r="AR82" s="255"/>
      <c r="AS82" s="256"/>
      <c r="AT82" s="256"/>
      <c r="AU82" s="255"/>
      <c r="AV82" s="255"/>
      <c r="AW82" s="255"/>
      <c r="AX82" s="120"/>
      <c r="AY82" s="255"/>
      <c r="AZ82" s="255"/>
      <c r="BA82" s="255"/>
      <c r="BB82" s="255"/>
      <c r="BC82" s="255"/>
      <c r="BD82" s="255"/>
      <c r="BE82" s="255"/>
      <c r="BF82" s="120"/>
      <c r="BG82" s="120"/>
      <c r="BH82" s="255"/>
      <c r="BI82" s="255"/>
      <c r="BJ82" s="255"/>
      <c r="BK82" s="255"/>
      <c r="BL82" s="255"/>
      <c r="BM82" s="255"/>
      <c r="BN82" s="255"/>
      <c r="BO82" s="255"/>
      <c r="BP82" s="255"/>
      <c r="BQ82" s="255"/>
      <c r="BR82" s="255"/>
      <c r="BS82" s="255"/>
      <c r="BT82" s="255"/>
      <c r="BU82" s="255"/>
      <c r="BV82" s="255"/>
      <c r="BW82" s="255"/>
      <c r="BX82" s="255"/>
      <c r="BY82" s="255"/>
      <c r="BZ82" s="255"/>
      <c r="CA82" s="255"/>
      <c r="CB82" s="255"/>
      <c r="CC82" s="255"/>
      <c r="CD82" s="255"/>
      <c r="CE82" s="255"/>
      <c r="CF82" s="255"/>
      <c r="CG82" s="255"/>
      <c r="CH82" s="255"/>
      <c r="CI82" s="255"/>
      <c r="CJ82" s="255"/>
      <c r="CK82" s="255"/>
      <c r="CL82" s="255"/>
      <c r="CM82" s="255"/>
      <c r="CN82" s="255"/>
      <c r="CO82" s="255"/>
      <c r="CP82" s="255"/>
      <c r="CQ82" s="255"/>
      <c r="CR82" s="255"/>
      <c r="CS82" s="255"/>
      <c r="CT82" s="255"/>
      <c r="CU82" s="255"/>
    </row>
    <row r="83" spans="1:255">
      <c r="A83" s="255"/>
      <c r="B83" s="255"/>
      <c r="C83" s="255"/>
      <c r="D83" s="255"/>
      <c r="E83" s="255"/>
      <c r="F83" s="255"/>
      <c r="G83" s="255"/>
      <c r="H83" s="255"/>
      <c r="I83" s="255"/>
      <c r="J83" s="255"/>
      <c r="K83" s="255"/>
      <c r="L83" s="255"/>
      <c r="M83" s="255"/>
      <c r="N83" s="255"/>
      <c r="O83" s="255"/>
      <c r="P83" s="255"/>
      <c r="Q83" s="255"/>
      <c r="R83" s="255"/>
      <c r="S83" s="256"/>
      <c r="T83" s="255"/>
      <c r="U83" s="255"/>
      <c r="V83" s="257"/>
      <c r="W83" s="257"/>
      <c r="X83" s="255"/>
      <c r="Y83" s="255"/>
      <c r="Z83" s="255"/>
      <c r="AA83" s="255"/>
      <c r="AB83" s="255"/>
      <c r="AC83" s="255"/>
      <c r="AD83" s="255"/>
      <c r="AE83" s="255"/>
      <c r="AF83" s="255"/>
      <c r="AG83" s="255"/>
      <c r="AH83" s="255"/>
      <c r="AI83" s="255"/>
      <c r="AJ83" s="255"/>
      <c r="AK83" s="255"/>
      <c r="AL83" s="255"/>
      <c r="AM83" s="255"/>
      <c r="AN83" s="255"/>
      <c r="AO83" s="255"/>
      <c r="AP83" s="255"/>
      <c r="AQ83" s="255"/>
      <c r="AR83" s="255"/>
      <c r="AS83" s="256"/>
      <c r="AT83" s="256"/>
      <c r="AU83" s="255"/>
      <c r="AV83" s="255"/>
      <c r="AW83" s="255"/>
      <c r="AX83" s="120"/>
      <c r="AY83" s="255"/>
      <c r="AZ83" s="255"/>
      <c r="BA83" s="255"/>
      <c r="BB83" s="255"/>
      <c r="BC83" s="255"/>
      <c r="BD83" s="255"/>
      <c r="BE83" s="255"/>
      <c r="BF83" s="120"/>
      <c r="BG83" s="120"/>
      <c r="BH83" s="255"/>
      <c r="BI83" s="255"/>
      <c r="BJ83" s="255"/>
      <c r="BK83" s="255"/>
      <c r="BL83" s="255"/>
      <c r="BM83" s="255"/>
      <c r="BN83" s="255"/>
      <c r="BO83" s="255"/>
      <c r="BP83" s="255"/>
      <c r="BQ83" s="255"/>
      <c r="BR83" s="255"/>
      <c r="BS83" s="255"/>
      <c r="BT83" s="255"/>
      <c r="BU83" s="255"/>
      <c r="BV83" s="255"/>
      <c r="BW83" s="255"/>
      <c r="BX83" s="255"/>
      <c r="BY83" s="255"/>
      <c r="BZ83" s="255"/>
      <c r="CA83" s="255"/>
      <c r="CB83" s="255"/>
      <c r="CC83" s="255"/>
      <c r="CD83" s="255"/>
      <c r="CE83" s="255"/>
      <c r="CF83" s="255"/>
      <c r="CG83" s="255"/>
      <c r="CH83" s="255"/>
      <c r="CI83" s="255"/>
      <c r="CJ83" s="255"/>
      <c r="CK83" s="255"/>
      <c r="CL83" s="255"/>
      <c r="CM83" s="255"/>
      <c r="CN83" s="255"/>
      <c r="CO83" s="255"/>
      <c r="CP83" s="255"/>
      <c r="CQ83" s="255"/>
      <c r="CR83" s="255"/>
      <c r="CS83" s="255"/>
      <c r="CT83" s="255"/>
      <c r="CU83" s="255"/>
    </row>
    <row r="84" spans="1:255">
      <c r="A84" s="255"/>
      <c r="B84" s="255"/>
      <c r="C84" s="255"/>
      <c r="D84" s="255"/>
      <c r="E84" s="255"/>
      <c r="F84" s="255"/>
      <c r="G84" s="255"/>
      <c r="H84" s="255"/>
      <c r="I84" s="255"/>
      <c r="J84" s="255"/>
      <c r="K84" s="255"/>
      <c r="L84" s="255"/>
      <c r="M84" s="255"/>
      <c r="N84" s="255"/>
      <c r="O84" s="255"/>
      <c r="P84" s="255"/>
      <c r="Q84" s="255"/>
      <c r="R84" s="255"/>
      <c r="S84" s="256"/>
      <c r="T84" s="255"/>
      <c r="U84" s="255"/>
      <c r="V84" s="257"/>
      <c r="W84" s="257"/>
      <c r="X84" s="255"/>
      <c r="Y84" s="255"/>
      <c r="Z84" s="255"/>
      <c r="AA84" s="255"/>
      <c r="AB84" s="255"/>
      <c r="AC84" s="255"/>
      <c r="AD84" s="255"/>
      <c r="AE84" s="255"/>
      <c r="AF84" s="255"/>
      <c r="AG84" s="255"/>
      <c r="AH84" s="255"/>
      <c r="AI84" s="255"/>
      <c r="AJ84" s="255"/>
      <c r="AK84" s="255"/>
      <c r="AL84" s="255"/>
      <c r="AM84" s="255"/>
      <c r="AN84" s="255"/>
      <c r="AO84" s="255"/>
      <c r="AP84" s="255"/>
      <c r="AQ84" s="255"/>
      <c r="AR84" s="255"/>
      <c r="AS84" s="256"/>
      <c r="AT84" s="256"/>
      <c r="AU84" s="255"/>
      <c r="AV84" s="255"/>
      <c r="AW84" s="255"/>
      <c r="AX84" s="120"/>
      <c r="AY84" s="255"/>
      <c r="AZ84" s="255"/>
      <c r="BA84" s="255"/>
      <c r="BB84" s="255"/>
      <c r="BC84" s="255"/>
      <c r="BD84" s="255"/>
      <c r="BE84" s="255"/>
      <c r="BF84" s="120"/>
      <c r="BG84" s="120"/>
      <c r="BH84" s="255"/>
      <c r="BI84" s="255"/>
      <c r="BJ84" s="255"/>
      <c r="BK84" s="255"/>
      <c r="BL84" s="255"/>
      <c r="BM84" s="255"/>
      <c r="BN84" s="255"/>
      <c r="BO84" s="255"/>
      <c r="BP84" s="255"/>
      <c r="BQ84" s="255"/>
      <c r="BR84" s="255"/>
      <c r="BS84" s="255"/>
      <c r="BT84" s="255"/>
      <c r="BU84" s="255"/>
      <c r="BV84" s="255"/>
      <c r="BW84" s="255"/>
      <c r="BX84" s="255"/>
      <c r="BY84" s="255"/>
      <c r="BZ84" s="255"/>
      <c r="CA84" s="255"/>
      <c r="CB84" s="255"/>
      <c r="CC84" s="255"/>
      <c r="CD84" s="255"/>
      <c r="CE84" s="255"/>
      <c r="CF84" s="255"/>
      <c r="CG84" s="255"/>
      <c r="CH84" s="255"/>
      <c r="CI84" s="255"/>
      <c r="CJ84" s="255"/>
      <c r="CK84" s="255"/>
      <c r="CL84" s="255"/>
      <c r="CM84" s="255"/>
      <c r="CN84" s="255"/>
      <c r="CO84" s="255"/>
      <c r="CP84" s="255"/>
      <c r="CQ84" s="255"/>
      <c r="CR84" s="255"/>
      <c r="CS84" s="255"/>
      <c r="CT84" s="255"/>
      <c r="CU84" s="255"/>
    </row>
    <row r="85" spans="1:255">
      <c r="A85" s="255"/>
      <c r="B85" s="255"/>
      <c r="C85" s="255"/>
      <c r="D85" s="255"/>
      <c r="E85" s="255"/>
      <c r="F85" s="255"/>
      <c r="G85" s="255"/>
      <c r="H85" s="255"/>
      <c r="I85" s="255"/>
      <c r="J85" s="255"/>
      <c r="K85" s="255"/>
      <c r="L85" s="255"/>
      <c r="M85" s="255"/>
      <c r="N85" s="255"/>
      <c r="O85" s="255"/>
      <c r="P85" s="255"/>
      <c r="Q85" s="255"/>
      <c r="R85" s="255"/>
      <c r="S85" s="256"/>
      <c r="T85" s="255"/>
      <c r="U85" s="255"/>
      <c r="V85" s="257"/>
      <c r="W85" s="257"/>
      <c r="X85" s="255"/>
      <c r="Y85" s="255"/>
      <c r="Z85" s="255"/>
      <c r="AA85" s="255"/>
      <c r="AB85" s="255"/>
      <c r="AC85" s="255"/>
      <c r="AD85" s="255"/>
      <c r="AE85" s="255"/>
      <c r="AF85" s="255"/>
      <c r="AG85" s="255"/>
      <c r="AH85" s="255"/>
      <c r="AI85" s="255"/>
      <c r="AJ85" s="255"/>
      <c r="AK85" s="255"/>
      <c r="AL85" s="255"/>
      <c r="AM85" s="255"/>
      <c r="AN85" s="255"/>
      <c r="AO85" s="255"/>
      <c r="AP85" s="255"/>
      <c r="AQ85" s="255"/>
      <c r="AR85" s="255"/>
      <c r="AS85" s="256"/>
      <c r="AT85" s="256"/>
      <c r="AU85" s="255"/>
      <c r="AV85" s="255"/>
      <c r="AW85" s="255"/>
      <c r="AX85" s="120"/>
      <c r="AY85" s="255"/>
      <c r="AZ85" s="255"/>
      <c r="BA85" s="255"/>
      <c r="BB85" s="255"/>
      <c r="BC85" s="255"/>
      <c r="BD85" s="255"/>
      <c r="BE85" s="255"/>
      <c r="BF85" s="120"/>
      <c r="BG85" s="120"/>
      <c r="BH85" s="255"/>
      <c r="BI85" s="255"/>
      <c r="BJ85" s="255"/>
      <c r="BK85" s="255"/>
      <c r="BL85" s="255"/>
      <c r="BM85" s="255"/>
      <c r="BN85" s="255"/>
      <c r="BO85" s="255"/>
      <c r="BP85" s="255"/>
      <c r="BQ85" s="255"/>
      <c r="BR85" s="255"/>
      <c r="BS85" s="255"/>
      <c r="BT85" s="255"/>
      <c r="BU85" s="255"/>
      <c r="BV85" s="255"/>
      <c r="BW85" s="255"/>
      <c r="BX85" s="255"/>
      <c r="BY85" s="255"/>
      <c r="BZ85" s="255"/>
      <c r="CA85" s="255"/>
      <c r="CB85" s="255"/>
      <c r="CC85" s="255"/>
      <c r="CD85" s="255"/>
      <c r="CE85" s="255"/>
      <c r="CF85" s="255"/>
      <c r="CG85" s="255"/>
      <c r="CH85" s="255"/>
      <c r="CI85" s="255"/>
      <c r="CJ85" s="255"/>
      <c r="CK85" s="255"/>
      <c r="CL85" s="255"/>
      <c r="CM85" s="255"/>
      <c r="CN85" s="255"/>
      <c r="CO85" s="255"/>
      <c r="CP85" s="255"/>
      <c r="CQ85" s="255"/>
      <c r="CR85" s="255"/>
      <c r="CS85" s="255"/>
      <c r="CT85" s="255"/>
      <c r="CU85" s="255"/>
    </row>
    <row r="86" spans="1:255">
      <c r="A86" s="255"/>
      <c r="B86" s="255"/>
      <c r="C86" s="255"/>
      <c r="D86" s="255"/>
      <c r="E86" s="255"/>
      <c r="F86" s="255"/>
      <c r="G86" s="255"/>
      <c r="H86" s="255"/>
      <c r="I86" s="255"/>
      <c r="J86" s="255"/>
      <c r="K86" s="255"/>
      <c r="L86" s="255"/>
      <c r="M86" s="255"/>
      <c r="N86" s="255"/>
      <c r="O86" s="255"/>
      <c r="P86" s="255"/>
      <c r="Q86" s="255"/>
      <c r="R86" s="255"/>
      <c r="S86" s="256"/>
      <c r="T86" s="255"/>
      <c r="U86" s="255"/>
      <c r="V86" s="257"/>
      <c r="W86" s="257"/>
      <c r="X86" s="255"/>
      <c r="Y86" s="255"/>
      <c r="Z86" s="255"/>
      <c r="AA86" s="255"/>
      <c r="AB86" s="255"/>
      <c r="AC86" s="255"/>
      <c r="AD86" s="255"/>
      <c r="AE86" s="255"/>
      <c r="AF86" s="255"/>
      <c r="AG86" s="255"/>
      <c r="AH86" s="255"/>
      <c r="AI86" s="255"/>
      <c r="AJ86" s="255"/>
      <c r="AK86" s="255"/>
      <c r="AL86" s="255"/>
      <c r="AM86" s="255"/>
      <c r="AN86" s="255"/>
      <c r="AO86" s="255"/>
      <c r="AP86" s="255"/>
      <c r="AQ86" s="255"/>
      <c r="AR86" s="255"/>
      <c r="AS86" s="256"/>
      <c r="AT86" s="256"/>
      <c r="AU86" s="255"/>
      <c r="AV86" s="255"/>
      <c r="AW86" s="255"/>
      <c r="AX86" s="120"/>
      <c r="AY86" s="255"/>
      <c r="AZ86" s="255"/>
      <c r="BA86" s="255"/>
      <c r="BB86" s="255"/>
      <c r="BC86" s="255"/>
      <c r="BD86" s="255"/>
      <c r="BE86" s="255"/>
      <c r="BF86" s="120"/>
      <c r="BG86" s="120"/>
      <c r="BH86" s="255"/>
      <c r="BI86" s="255"/>
      <c r="BJ86" s="255"/>
      <c r="BK86" s="255"/>
      <c r="BL86" s="255"/>
      <c r="BM86" s="255"/>
      <c r="BN86" s="255"/>
      <c r="BO86" s="255"/>
      <c r="BP86" s="255"/>
      <c r="BQ86" s="255"/>
      <c r="BR86" s="255"/>
      <c r="BS86" s="255"/>
      <c r="BT86" s="255"/>
      <c r="BU86" s="255"/>
      <c r="BV86" s="255"/>
      <c r="BW86" s="255"/>
      <c r="BX86" s="255"/>
      <c r="BY86" s="255"/>
      <c r="BZ86" s="255"/>
      <c r="CA86" s="255"/>
      <c r="CB86" s="255"/>
      <c r="CC86" s="255"/>
      <c r="CD86" s="255"/>
      <c r="CE86" s="255"/>
      <c r="CF86" s="255"/>
      <c r="CG86" s="255"/>
      <c r="CH86" s="255"/>
      <c r="CI86" s="255"/>
      <c r="CJ86" s="255"/>
      <c r="CK86" s="255"/>
      <c r="CL86" s="255"/>
      <c r="CM86" s="255"/>
      <c r="CN86" s="255"/>
      <c r="CO86" s="255"/>
      <c r="CP86" s="255"/>
      <c r="CQ86" s="255"/>
      <c r="CR86" s="255"/>
      <c r="CS86" s="255"/>
      <c r="CT86" s="255"/>
      <c r="CU86" s="255"/>
    </row>
    <row r="87" spans="1:255">
      <c r="A87" s="255"/>
      <c r="B87" s="255"/>
      <c r="C87" s="255"/>
      <c r="D87" s="255"/>
      <c r="E87" s="255"/>
      <c r="F87" s="255"/>
      <c r="G87" s="255"/>
      <c r="H87" s="255"/>
      <c r="I87" s="255"/>
      <c r="J87" s="255"/>
      <c r="K87" s="255"/>
      <c r="L87" s="255"/>
      <c r="M87" s="255"/>
      <c r="N87" s="255"/>
      <c r="O87" s="255"/>
      <c r="P87" s="255"/>
      <c r="Q87" s="255"/>
      <c r="R87" s="255"/>
      <c r="S87" s="256"/>
      <c r="T87" s="255"/>
      <c r="U87" s="255"/>
      <c r="V87" s="257"/>
      <c r="W87" s="257"/>
      <c r="X87" s="255"/>
      <c r="Y87" s="255"/>
      <c r="Z87" s="255"/>
      <c r="AA87" s="255"/>
      <c r="AB87" s="255"/>
      <c r="AC87" s="255"/>
      <c r="AD87" s="255"/>
      <c r="AE87" s="255"/>
      <c r="AF87" s="255"/>
      <c r="AG87" s="255"/>
      <c r="AH87" s="255"/>
      <c r="AI87" s="255"/>
      <c r="AJ87" s="255"/>
      <c r="AK87" s="255"/>
      <c r="AL87" s="255"/>
      <c r="AM87" s="255"/>
      <c r="AN87" s="255"/>
      <c r="AO87" s="255"/>
      <c r="AP87" s="255"/>
      <c r="AQ87" s="255"/>
      <c r="AR87" s="255"/>
      <c r="AS87" s="256"/>
      <c r="AT87" s="256"/>
      <c r="AU87" s="255"/>
      <c r="AV87" s="255"/>
      <c r="AW87" s="255"/>
      <c r="AX87" s="120"/>
      <c r="AY87" s="255"/>
      <c r="AZ87" s="255"/>
      <c r="BA87" s="255"/>
      <c r="BB87" s="255"/>
      <c r="BC87" s="255"/>
      <c r="BD87" s="255"/>
      <c r="BE87" s="255"/>
      <c r="BF87" s="120"/>
      <c r="BG87" s="120"/>
      <c r="BH87" s="255"/>
      <c r="BI87" s="255"/>
      <c r="BJ87" s="255"/>
      <c r="BK87" s="255"/>
      <c r="BL87" s="255"/>
      <c r="BM87" s="255"/>
      <c r="BN87" s="255"/>
      <c r="BO87" s="255"/>
      <c r="BP87" s="255"/>
      <c r="BQ87" s="255"/>
      <c r="BR87" s="255"/>
      <c r="BS87" s="255"/>
      <c r="BT87" s="255"/>
      <c r="BU87" s="255"/>
      <c r="BV87" s="255"/>
      <c r="BW87" s="255"/>
      <c r="BX87" s="255"/>
      <c r="BY87" s="255"/>
      <c r="BZ87" s="255"/>
      <c r="CA87" s="255"/>
      <c r="CB87" s="255"/>
      <c r="CC87" s="255"/>
      <c r="CD87" s="255"/>
      <c r="CE87" s="255"/>
      <c r="CF87" s="255"/>
      <c r="CG87" s="255"/>
      <c r="CH87" s="255"/>
      <c r="CI87" s="255"/>
      <c r="CJ87" s="255"/>
      <c r="CK87" s="255"/>
      <c r="CL87" s="255"/>
      <c r="CM87" s="255"/>
      <c r="CN87" s="255"/>
      <c r="CO87" s="255"/>
      <c r="CP87" s="255"/>
      <c r="CQ87" s="255"/>
      <c r="CR87" s="255"/>
      <c r="CS87" s="255"/>
      <c r="CT87" s="255"/>
      <c r="CU87" s="255"/>
    </row>
    <row r="88" spans="1:255">
      <c r="A88" s="255"/>
      <c r="B88" s="255"/>
      <c r="C88" s="255"/>
      <c r="D88" s="255"/>
      <c r="E88" s="255"/>
      <c r="F88" s="255"/>
      <c r="G88" s="255"/>
      <c r="H88" s="255"/>
      <c r="I88" s="255"/>
      <c r="J88" s="255"/>
      <c r="K88" s="255"/>
      <c r="L88" s="255"/>
      <c r="M88" s="255"/>
      <c r="N88" s="255"/>
      <c r="O88" s="255"/>
      <c r="P88" s="255"/>
      <c r="Q88" s="255"/>
      <c r="R88" s="255"/>
      <c r="S88" s="256"/>
      <c r="T88" s="255"/>
      <c r="U88" s="255"/>
      <c r="V88" s="257"/>
      <c r="W88" s="257"/>
      <c r="X88" s="255"/>
      <c r="Y88" s="255"/>
      <c r="Z88" s="255"/>
      <c r="AA88" s="255"/>
      <c r="AB88" s="255"/>
      <c r="AC88" s="255"/>
      <c r="AD88" s="255"/>
      <c r="AE88" s="255"/>
      <c r="AF88" s="255"/>
      <c r="AG88" s="255"/>
      <c r="AH88" s="255"/>
      <c r="AI88" s="255"/>
      <c r="AJ88" s="255"/>
      <c r="AK88" s="255"/>
      <c r="AL88" s="255"/>
      <c r="AM88" s="255"/>
      <c r="AN88" s="255"/>
      <c r="AO88" s="255"/>
      <c r="AP88" s="255"/>
      <c r="AQ88" s="255"/>
      <c r="AR88" s="255"/>
      <c r="AS88" s="256"/>
      <c r="AT88" s="256"/>
      <c r="AU88" s="255"/>
      <c r="AV88" s="255"/>
      <c r="AW88" s="255"/>
      <c r="AX88" s="120"/>
      <c r="AY88" s="255"/>
      <c r="AZ88" s="255"/>
      <c r="BA88" s="255"/>
      <c r="BB88" s="255"/>
      <c r="BC88" s="255"/>
      <c r="BD88" s="255"/>
      <c r="BE88" s="255"/>
      <c r="BF88" s="120"/>
      <c r="BG88" s="120"/>
      <c r="BH88" s="255"/>
      <c r="BI88" s="255"/>
      <c r="BJ88" s="255"/>
      <c r="BK88" s="255"/>
      <c r="BL88" s="255"/>
      <c r="BM88" s="255"/>
      <c r="BN88" s="255"/>
      <c r="BO88" s="255"/>
      <c r="BP88" s="255"/>
      <c r="BQ88" s="255"/>
      <c r="BR88" s="255"/>
      <c r="BS88" s="255"/>
      <c r="BT88" s="255"/>
      <c r="BU88" s="255"/>
      <c r="BV88" s="255"/>
      <c r="BW88" s="255"/>
      <c r="BX88" s="255"/>
      <c r="BY88" s="255"/>
      <c r="BZ88" s="255"/>
      <c r="CA88" s="255"/>
      <c r="CB88" s="255"/>
      <c r="CC88" s="255"/>
      <c r="CD88" s="255"/>
      <c r="CE88" s="255"/>
      <c r="CF88" s="255"/>
      <c r="CG88" s="255"/>
      <c r="CH88" s="255"/>
      <c r="CI88" s="255"/>
      <c r="CJ88" s="255"/>
      <c r="CK88" s="255"/>
      <c r="CL88" s="255"/>
      <c r="CM88" s="255"/>
      <c r="CN88" s="255"/>
      <c r="CO88" s="255"/>
      <c r="CP88" s="255"/>
      <c r="CQ88" s="255"/>
      <c r="CR88" s="255"/>
      <c r="CS88" s="255"/>
      <c r="CT88" s="255"/>
      <c r="CU88" s="255"/>
    </row>
    <row r="89" spans="1:255">
      <c r="A89" s="255"/>
      <c r="B89" s="255"/>
      <c r="C89" s="255"/>
      <c r="D89" s="255"/>
      <c r="E89" s="255"/>
      <c r="F89" s="255"/>
      <c r="G89" s="255"/>
      <c r="H89" s="255"/>
      <c r="I89" s="255"/>
      <c r="J89" s="255"/>
      <c r="K89" s="255"/>
      <c r="L89" s="255"/>
      <c r="M89" s="255"/>
      <c r="N89" s="255"/>
      <c r="O89" s="255"/>
      <c r="P89" s="255"/>
      <c r="Q89" s="255"/>
      <c r="R89" s="255"/>
      <c r="S89" s="256"/>
      <c r="T89" s="255"/>
      <c r="U89" s="255"/>
      <c r="V89" s="257"/>
      <c r="W89" s="257"/>
      <c r="X89" s="255"/>
      <c r="Y89" s="255"/>
      <c r="Z89" s="255"/>
      <c r="AA89" s="255"/>
      <c r="AB89" s="255"/>
      <c r="AC89" s="255"/>
      <c r="AD89" s="255"/>
      <c r="AE89" s="255"/>
      <c r="AF89" s="255"/>
      <c r="AG89" s="255"/>
      <c r="AH89" s="255"/>
      <c r="AI89" s="255"/>
      <c r="AJ89" s="255"/>
      <c r="AK89" s="255"/>
      <c r="AL89" s="255"/>
      <c r="AM89" s="255"/>
      <c r="AN89" s="255"/>
      <c r="AO89" s="255"/>
      <c r="AP89" s="255"/>
      <c r="AQ89" s="255"/>
      <c r="AR89" s="255"/>
      <c r="AS89" s="256"/>
      <c r="AT89" s="256"/>
      <c r="AU89" s="255"/>
      <c r="AV89" s="255"/>
      <c r="AW89" s="255"/>
      <c r="AX89" s="120"/>
      <c r="AY89" s="255"/>
      <c r="AZ89" s="255"/>
      <c r="BA89" s="255"/>
      <c r="BB89" s="255"/>
      <c r="BC89" s="255"/>
      <c r="BD89" s="255"/>
      <c r="BE89" s="255"/>
      <c r="BF89" s="120"/>
      <c r="BG89" s="120"/>
      <c r="BH89" s="255"/>
      <c r="BI89" s="255"/>
      <c r="BJ89" s="255"/>
      <c r="BK89" s="255"/>
      <c r="BL89" s="255"/>
      <c r="BM89" s="255"/>
      <c r="BN89" s="255"/>
      <c r="BO89" s="255"/>
      <c r="BP89" s="255"/>
      <c r="BQ89" s="255"/>
      <c r="BR89" s="255"/>
      <c r="BS89" s="255"/>
      <c r="BT89" s="255"/>
      <c r="BU89" s="255"/>
      <c r="BV89" s="255"/>
      <c r="BW89" s="255"/>
      <c r="BX89" s="255"/>
      <c r="BY89" s="255"/>
      <c r="BZ89" s="255"/>
      <c r="CA89" s="255"/>
      <c r="CB89" s="255"/>
      <c r="CC89" s="255"/>
      <c r="CD89" s="255"/>
      <c r="CE89" s="255"/>
      <c r="CF89" s="255"/>
      <c r="CG89" s="255"/>
      <c r="CH89" s="255"/>
      <c r="CI89" s="255"/>
      <c r="CJ89" s="255"/>
      <c r="CK89" s="255"/>
      <c r="CL89" s="255"/>
      <c r="CM89" s="255"/>
      <c r="CN89" s="255"/>
      <c r="CO89" s="255"/>
      <c r="CP89" s="255"/>
      <c r="CQ89" s="255"/>
      <c r="CR89" s="255"/>
      <c r="CS89" s="255"/>
      <c r="CT89" s="255"/>
      <c r="CU89" s="255"/>
    </row>
    <row r="90" spans="1:255">
      <c r="A90" s="255"/>
      <c r="B90" s="255"/>
      <c r="C90" s="255"/>
      <c r="D90" s="255"/>
      <c r="E90" s="255"/>
      <c r="F90" s="255"/>
      <c r="G90" s="255"/>
      <c r="H90" s="255"/>
      <c r="I90" s="255"/>
      <c r="J90" s="255"/>
      <c r="K90" s="255"/>
      <c r="L90" s="255"/>
      <c r="M90" s="255"/>
      <c r="N90" s="255"/>
      <c r="O90" s="255"/>
      <c r="P90" s="255"/>
      <c r="Q90" s="255"/>
      <c r="R90" s="255"/>
      <c r="S90" s="256"/>
      <c r="T90" s="255"/>
      <c r="U90" s="255"/>
      <c r="V90" s="257"/>
      <c r="W90" s="257"/>
      <c r="X90" s="255"/>
      <c r="Y90" s="255"/>
      <c r="Z90" s="255"/>
      <c r="AA90" s="255"/>
      <c r="AB90" s="255"/>
      <c r="AC90" s="255"/>
      <c r="AD90" s="255"/>
      <c r="AE90" s="255"/>
      <c r="AF90" s="255"/>
      <c r="AG90" s="255"/>
      <c r="AH90" s="255"/>
      <c r="AI90" s="255"/>
      <c r="AJ90" s="255"/>
      <c r="AK90" s="255"/>
      <c r="AL90" s="255"/>
      <c r="AM90" s="255"/>
      <c r="AN90" s="255"/>
      <c r="AO90" s="255"/>
      <c r="AP90" s="255"/>
      <c r="AQ90" s="255"/>
      <c r="AR90" s="255"/>
      <c r="AS90" s="256"/>
      <c r="AT90" s="256"/>
      <c r="AU90" s="255"/>
      <c r="AV90" s="255"/>
      <c r="AW90" s="255"/>
      <c r="AX90" s="120"/>
      <c r="AY90" s="255"/>
      <c r="AZ90" s="255"/>
      <c r="BA90" s="255"/>
      <c r="BB90" s="255"/>
      <c r="BC90" s="255"/>
      <c r="BD90" s="255"/>
      <c r="BE90" s="255"/>
      <c r="BF90" s="120"/>
      <c r="BG90" s="120"/>
      <c r="BH90" s="255"/>
      <c r="BI90" s="255"/>
      <c r="BJ90" s="255"/>
      <c r="BK90" s="255"/>
      <c r="BL90" s="255"/>
      <c r="BM90" s="255"/>
      <c r="BN90" s="255"/>
      <c r="BO90" s="255"/>
      <c r="BP90" s="255"/>
      <c r="BQ90" s="255"/>
      <c r="BR90" s="255"/>
      <c r="BS90" s="255"/>
      <c r="BT90" s="255"/>
      <c r="BU90" s="255"/>
      <c r="BV90" s="255"/>
      <c r="BW90" s="255"/>
      <c r="BX90" s="255"/>
      <c r="BY90" s="255"/>
      <c r="BZ90" s="255"/>
      <c r="CA90" s="255"/>
      <c r="CB90" s="255"/>
      <c r="CC90" s="255"/>
      <c r="CD90" s="255"/>
      <c r="CE90" s="255"/>
      <c r="CF90" s="255"/>
      <c r="CG90" s="255"/>
      <c r="CH90" s="255"/>
      <c r="CI90" s="255"/>
      <c r="CJ90" s="255"/>
      <c r="CK90" s="255"/>
      <c r="CL90" s="255"/>
      <c r="CM90" s="255"/>
      <c r="CN90" s="255"/>
      <c r="CO90" s="255"/>
      <c r="CP90" s="255"/>
      <c r="CQ90" s="255"/>
      <c r="CR90" s="255"/>
      <c r="CS90" s="255"/>
      <c r="CT90" s="255"/>
      <c r="CU90" s="255"/>
    </row>
    <row r="91" spans="1:255">
      <c r="A91" s="255"/>
      <c r="B91" s="255"/>
      <c r="C91" s="255"/>
      <c r="D91" s="255"/>
      <c r="E91" s="255"/>
      <c r="F91" s="255"/>
      <c r="G91" s="255"/>
      <c r="H91" s="255"/>
      <c r="I91" s="255"/>
      <c r="J91" s="255"/>
      <c r="K91" s="255"/>
      <c r="L91" s="255"/>
      <c r="M91" s="255"/>
      <c r="N91" s="255"/>
      <c r="O91" s="255"/>
      <c r="P91" s="255"/>
      <c r="Q91" s="255"/>
      <c r="R91" s="255"/>
      <c r="S91" s="256"/>
      <c r="T91" s="255"/>
      <c r="U91" s="255"/>
      <c r="V91" s="257"/>
      <c r="W91" s="257"/>
      <c r="X91" s="255"/>
      <c r="Y91" s="255"/>
      <c r="Z91" s="255"/>
      <c r="AA91" s="255"/>
      <c r="AB91" s="255"/>
      <c r="AC91" s="255"/>
      <c r="AD91" s="255"/>
      <c r="AE91" s="255"/>
      <c r="AF91" s="255"/>
      <c r="AG91" s="255"/>
      <c r="AH91" s="255"/>
      <c r="AI91" s="255"/>
      <c r="AJ91" s="255"/>
      <c r="AK91" s="255"/>
      <c r="AL91" s="255"/>
      <c r="AM91" s="255"/>
      <c r="AN91" s="255"/>
      <c r="AO91" s="255"/>
      <c r="AP91" s="255"/>
      <c r="AQ91" s="255"/>
      <c r="AR91" s="255"/>
      <c r="AS91" s="256"/>
      <c r="AT91" s="256"/>
      <c r="AU91" s="255"/>
      <c r="AV91" s="255"/>
      <c r="AW91" s="255"/>
      <c r="AX91" s="120"/>
      <c r="AY91" s="255"/>
      <c r="AZ91" s="255"/>
      <c r="BA91" s="255"/>
      <c r="BB91" s="255"/>
      <c r="BC91" s="255"/>
      <c r="BD91" s="255"/>
      <c r="BE91" s="255"/>
      <c r="BF91" s="120"/>
      <c r="BG91" s="120"/>
      <c r="BH91" s="255"/>
      <c r="BI91" s="255"/>
      <c r="BJ91" s="255"/>
      <c r="BK91" s="255"/>
      <c r="BL91" s="255"/>
      <c r="BM91" s="255"/>
      <c r="BN91" s="255"/>
      <c r="BO91" s="255"/>
      <c r="BP91" s="255"/>
      <c r="BQ91" s="255"/>
      <c r="BR91" s="255"/>
      <c r="BS91" s="255"/>
      <c r="BT91" s="255"/>
      <c r="BU91" s="255"/>
      <c r="BV91" s="255"/>
      <c r="BW91" s="255"/>
      <c r="BX91" s="255"/>
      <c r="BY91" s="255"/>
      <c r="BZ91" s="255"/>
      <c r="CA91" s="255"/>
      <c r="CB91" s="255"/>
      <c r="CC91" s="255"/>
      <c r="CD91" s="255"/>
      <c r="CE91" s="255"/>
      <c r="CF91" s="255"/>
      <c r="CG91" s="255"/>
      <c r="CH91" s="255"/>
      <c r="CI91" s="255"/>
      <c r="CJ91" s="255"/>
      <c r="CK91" s="255"/>
      <c r="CL91" s="255"/>
      <c r="CM91" s="255"/>
      <c r="CN91" s="255"/>
      <c r="CO91" s="255"/>
      <c r="CP91" s="255"/>
      <c r="CQ91" s="255"/>
      <c r="CR91" s="255"/>
      <c r="CS91" s="255"/>
      <c r="CT91" s="255"/>
      <c r="CU91" s="255"/>
    </row>
    <row r="92" spans="1:255">
      <c r="A92" s="255"/>
      <c r="B92" s="255"/>
      <c r="C92" s="255"/>
      <c r="D92" s="255"/>
      <c r="E92" s="255"/>
      <c r="F92" s="255"/>
      <c r="G92" s="255"/>
      <c r="H92" s="255"/>
      <c r="I92" s="255"/>
      <c r="J92" s="255"/>
      <c r="K92" s="255"/>
      <c r="L92" s="255"/>
      <c r="M92" s="255"/>
      <c r="N92" s="255"/>
      <c r="O92" s="255"/>
      <c r="P92" s="255"/>
      <c r="Q92" s="255"/>
      <c r="R92" s="255"/>
      <c r="S92" s="256"/>
      <c r="T92" s="255"/>
      <c r="U92" s="255"/>
      <c r="V92" s="257"/>
      <c r="W92" s="257"/>
      <c r="X92" s="255"/>
      <c r="Y92" s="255"/>
      <c r="Z92" s="255"/>
      <c r="AA92" s="255"/>
      <c r="AB92" s="255"/>
      <c r="AC92" s="255"/>
      <c r="AD92" s="255"/>
      <c r="AE92" s="255"/>
      <c r="AF92" s="255"/>
      <c r="AG92" s="255"/>
      <c r="AH92" s="255"/>
      <c r="AI92" s="255"/>
      <c r="AJ92" s="255"/>
      <c r="AK92" s="255"/>
      <c r="AL92" s="255"/>
      <c r="AM92" s="255"/>
      <c r="AN92" s="255"/>
      <c r="AO92" s="255"/>
      <c r="AP92" s="255"/>
      <c r="AQ92" s="255"/>
      <c r="AR92" s="255"/>
      <c r="AS92" s="256"/>
      <c r="AT92" s="256"/>
      <c r="AU92" s="255"/>
      <c r="AV92" s="255"/>
      <c r="AW92" s="255"/>
      <c r="AX92" s="120"/>
      <c r="AY92" s="255"/>
      <c r="AZ92" s="255"/>
      <c r="BA92" s="255"/>
      <c r="BB92" s="255"/>
      <c r="BC92" s="255"/>
      <c r="BD92" s="255"/>
      <c r="BE92" s="255"/>
      <c r="BF92" s="120"/>
      <c r="BG92" s="120"/>
      <c r="BH92" s="255"/>
      <c r="BI92" s="255"/>
      <c r="BJ92" s="255"/>
      <c r="BK92" s="255"/>
      <c r="BL92" s="255"/>
      <c r="BM92" s="255"/>
      <c r="BN92" s="255"/>
      <c r="BO92" s="255"/>
      <c r="BP92" s="255"/>
      <c r="BQ92" s="255"/>
      <c r="BR92" s="255"/>
      <c r="BS92" s="255"/>
      <c r="BT92" s="255"/>
      <c r="BU92" s="255"/>
      <c r="BV92" s="255"/>
      <c r="BW92" s="255"/>
      <c r="BX92" s="255"/>
      <c r="BY92" s="255"/>
      <c r="BZ92" s="255"/>
      <c r="CA92" s="255"/>
      <c r="CB92" s="255"/>
      <c r="CC92" s="255"/>
      <c r="CD92" s="255"/>
      <c r="CE92" s="255"/>
      <c r="CF92" s="255"/>
      <c r="CG92" s="255"/>
      <c r="CH92" s="255"/>
      <c r="CI92" s="255"/>
      <c r="CJ92" s="255"/>
      <c r="CK92" s="255"/>
      <c r="CL92" s="255"/>
      <c r="CM92" s="255"/>
      <c r="CN92" s="255"/>
      <c r="CO92" s="255"/>
      <c r="CP92" s="255"/>
      <c r="CQ92" s="255"/>
      <c r="CR92" s="255"/>
      <c r="CS92" s="255"/>
      <c r="CT92" s="255"/>
      <c r="CU92" s="255"/>
    </row>
    <row r="93" spans="1:255">
      <c r="A93" s="255"/>
      <c r="B93" s="255"/>
      <c r="C93" s="255"/>
      <c r="D93" s="255"/>
      <c r="E93" s="255"/>
      <c r="F93" s="255"/>
      <c r="G93" s="255"/>
      <c r="H93" s="255"/>
      <c r="I93" s="255"/>
      <c r="J93" s="255"/>
      <c r="K93" s="255"/>
      <c r="L93" s="255"/>
      <c r="M93" s="255"/>
      <c r="N93" s="255"/>
      <c r="O93" s="255"/>
      <c r="P93" s="255"/>
      <c r="Q93" s="255"/>
      <c r="R93" s="255"/>
      <c r="S93" s="256"/>
      <c r="T93" s="255"/>
      <c r="U93" s="255"/>
      <c r="V93" s="257"/>
      <c r="W93" s="257"/>
      <c r="X93" s="255"/>
      <c r="Y93" s="255"/>
      <c r="Z93" s="255"/>
      <c r="AA93" s="255"/>
      <c r="AB93" s="255"/>
      <c r="AC93" s="255"/>
      <c r="AD93" s="255"/>
      <c r="AE93" s="255"/>
      <c r="AF93" s="255"/>
      <c r="AG93" s="255"/>
      <c r="AH93" s="255"/>
      <c r="AI93" s="255"/>
      <c r="AJ93" s="255"/>
      <c r="AK93" s="255"/>
      <c r="AL93" s="255"/>
      <c r="AM93" s="255"/>
      <c r="AN93" s="255"/>
      <c r="AO93" s="255"/>
      <c r="AP93" s="255"/>
      <c r="AQ93" s="255"/>
      <c r="AR93" s="255"/>
      <c r="AS93" s="256"/>
      <c r="AT93" s="256"/>
      <c r="AU93" s="255"/>
      <c r="AV93" s="255"/>
      <c r="AW93" s="255"/>
      <c r="AX93" s="120"/>
      <c r="AY93" s="255"/>
      <c r="AZ93" s="255"/>
      <c r="BA93" s="255"/>
      <c r="BB93" s="255"/>
      <c r="BC93" s="255"/>
      <c r="BD93" s="255"/>
      <c r="BE93" s="255"/>
      <c r="BF93" s="120"/>
      <c r="BG93" s="120"/>
      <c r="BH93" s="255"/>
      <c r="BI93" s="255"/>
      <c r="BJ93" s="255"/>
      <c r="BK93" s="255"/>
      <c r="BL93" s="255"/>
      <c r="BM93" s="255"/>
      <c r="BN93" s="255"/>
      <c r="BO93" s="255"/>
      <c r="BP93" s="255"/>
      <c r="BQ93" s="255"/>
      <c r="BR93" s="255"/>
      <c r="BS93" s="255"/>
      <c r="BT93" s="255"/>
      <c r="BU93" s="255"/>
      <c r="BV93" s="255"/>
      <c r="BW93" s="255"/>
      <c r="BX93" s="255"/>
      <c r="BY93" s="255"/>
      <c r="BZ93" s="255"/>
      <c r="CA93" s="255"/>
      <c r="CB93" s="255"/>
      <c r="CC93" s="255"/>
      <c r="CD93" s="255"/>
      <c r="CE93" s="255"/>
      <c r="CF93" s="255"/>
      <c r="CG93" s="255"/>
      <c r="CH93" s="255"/>
      <c r="CI93" s="255"/>
      <c r="CJ93" s="255"/>
      <c r="CK93" s="255"/>
      <c r="CL93" s="255"/>
      <c r="CM93" s="255"/>
      <c r="CN93" s="255"/>
      <c r="CO93" s="255"/>
      <c r="CP93" s="255"/>
      <c r="CQ93" s="255"/>
      <c r="CR93" s="255"/>
      <c r="CS93" s="255"/>
      <c r="CT93" s="255"/>
      <c r="CU93" s="255"/>
    </row>
    <row r="94" spans="1:255" customHeight="1" ht="24" s="238" customFormat="1">
      <c r="A94" s="258"/>
      <c r="B94" s="255"/>
      <c r="C94" s="256"/>
      <c r="D94" s="255"/>
      <c r="E94" s="255"/>
      <c r="F94" s="259"/>
      <c r="G94" s="259"/>
      <c r="H94" s="260"/>
      <c r="I94" s="258"/>
      <c r="J94" s="261"/>
      <c r="K94" s="258"/>
      <c r="L94" s="258"/>
      <c r="M94" s="262"/>
      <c r="N94" s="262"/>
      <c r="O94" s="262"/>
      <c r="P94" s="262"/>
      <c r="Q94" s="263"/>
      <c r="R94" s="255"/>
      <c r="S94" s="264"/>
      <c r="T94" s="120"/>
      <c r="U94" s="263"/>
      <c r="V94" s="159"/>
      <c r="W94" s="265"/>
      <c r="X94" s="263"/>
      <c r="Y94" s="158"/>
      <c r="Z94" s="158"/>
      <c r="AA94" s="158"/>
      <c r="AB94" s="158"/>
      <c r="AC94" s="158"/>
      <c r="AD94" s="158"/>
      <c r="AE94" s="158"/>
      <c r="AF94" s="158"/>
      <c r="AG94" s="158"/>
      <c r="AH94" s="158"/>
      <c r="AI94" s="158"/>
      <c r="AJ94" s="158"/>
      <c r="AK94" s="158"/>
      <c r="AL94" s="158"/>
      <c r="AM94" s="158"/>
      <c r="AN94" s="158"/>
      <c r="AO94" s="149"/>
      <c r="AP94" s="158"/>
      <c r="AQ94" s="158"/>
      <c r="AR94" s="149"/>
      <c r="AS94" s="266"/>
      <c r="AT94" s="158"/>
      <c r="AU94" s="120"/>
      <c r="AV94" s="158"/>
      <c r="AW94" s="149"/>
      <c r="AX94" s="267"/>
      <c r="AY94" s="149"/>
      <c r="AZ94" s="149"/>
      <c r="BA94" s="149"/>
      <c r="BB94" s="149"/>
      <c r="BC94" s="263"/>
      <c r="BD94" s="263"/>
      <c r="BE94" s="149"/>
      <c r="BF94" s="268"/>
      <c r="BG94" s="120"/>
      <c r="BH94" s="255"/>
      <c r="BI94" s="255"/>
      <c r="BJ94" s="255"/>
      <c r="BK94" s="255"/>
      <c r="BL94" s="255"/>
      <c r="BM94" s="255"/>
      <c r="BN94" s="255"/>
      <c r="BO94" s="255"/>
      <c r="BP94" s="255"/>
      <c r="BQ94" s="255"/>
      <c r="BR94" s="255"/>
      <c r="BS94" s="255"/>
      <c r="BT94" s="255"/>
      <c r="BU94" s="255"/>
      <c r="BV94" s="255"/>
      <c r="BW94" s="255"/>
      <c r="BX94" s="255"/>
      <c r="BY94" s="255"/>
      <c r="BZ94" s="255"/>
      <c r="CA94" s="255"/>
      <c r="CB94" s="255"/>
      <c r="CC94" s="255"/>
      <c r="CD94" s="255"/>
      <c r="CE94" s="255"/>
      <c r="CF94" s="255"/>
      <c r="CG94" s="255"/>
      <c r="CH94" s="255"/>
      <c r="CI94" s="255"/>
      <c r="CJ94" s="255"/>
      <c r="CK94" s="255"/>
      <c r="CL94" s="255"/>
      <c r="CM94" s="255"/>
      <c r="CN94" s="255"/>
      <c r="CO94" s="255"/>
      <c r="CP94" s="255"/>
      <c r="CQ94" s="255"/>
      <c r="CR94" s="255"/>
      <c r="CS94" s="255"/>
      <c r="CT94" s="255"/>
      <c r="CU94" s="255"/>
    </row>
    <row r="95" spans="1:255">
      <c r="A95" s="255"/>
      <c r="B95" s="255"/>
      <c r="C95" s="255"/>
      <c r="D95" s="255"/>
      <c r="E95" s="255"/>
      <c r="F95" s="255"/>
      <c r="G95" s="255"/>
      <c r="H95" s="255"/>
      <c r="I95" s="255"/>
      <c r="J95" s="255"/>
      <c r="K95" s="255"/>
      <c r="L95" s="255"/>
      <c r="M95" s="255"/>
      <c r="N95" s="255"/>
      <c r="O95" s="255"/>
      <c r="P95" s="255"/>
      <c r="Q95" s="255"/>
      <c r="R95" s="255"/>
      <c r="S95" s="256"/>
      <c r="T95" s="255"/>
      <c r="U95" s="255"/>
      <c r="V95" s="257"/>
      <c r="W95" s="257"/>
      <c r="X95" s="255"/>
      <c r="Y95" s="255"/>
      <c r="Z95" s="255"/>
      <c r="AA95" s="255"/>
      <c r="AB95" s="255"/>
      <c r="AC95" s="255"/>
      <c r="AD95" s="255"/>
      <c r="AE95" s="255"/>
      <c r="AF95" s="255"/>
      <c r="AG95" s="255"/>
      <c r="AH95" s="255"/>
      <c r="AI95" s="255"/>
      <c r="AJ95" s="255"/>
      <c r="AK95" s="255"/>
      <c r="AL95" s="255"/>
      <c r="AM95" s="255"/>
      <c r="AN95" s="255"/>
      <c r="AO95" s="255"/>
      <c r="AP95" s="255"/>
      <c r="AQ95" s="255"/>
      <c r="AR95" s="255"/>
      <c r="AS95" s="256"/>
      <c r="AT95" s="256"/>
      <c r="AU95" s="255"/>
      <c r="AV95" s="255"/>
      <c r="AW95" s="255"/>
      <c r="AX95" s="120"/>
      <c r="AY95" s="255"/>
      <c r="AZ95" s="255"/>
      <c r="BA95" s="255"/>
      <c r="BB95" s="255"/>
      <c r="BC95" s="255"/>
      <c r="BD95" s="255"/>
      <c r="BE95" s="255"/>
      <c r="BF95" s="120"/>
      <c r="BG95" s="120"/>
      <c r="BH95" s="255"/>
      <c r="BI95" s="255"/>
      <c r="BJ95" s="255"/>
      <c r="BK95" s="255"/>
      <c r="BL95" s="255"/>
      <c r="BM95" s="255"/>
      <c r="BN95" s="255"/>
      <c r="BO95" s="255"/>
      <c r="BP95" s="255"/>
      <c r="BQ95" s="255"/>
      <c r="BR95" s="255"/>
      <c r="BS95" s="255"/>
      <c r="BT95" s="255"/>
      <c r="BU95" s="255"/>
      <c r="BV95" s="255"/>
      <c r="BW95" s="255"/>
      <c r="BX95" s="255"/>
      <c r="BY95" s="255"/>
      <c r="BZ95" s="255"/>
      <c r="CA95" s="255"/>
      <c r="CB95" s="255"/>
      <c r="CC95" s="255"/>
      <c r="CD95" s="255"/>
      <c r="CE95" s="255"/>
      <c r="CF95" s="255"/>
      <c r="CG95" s="255"/>
      <c r="CH95" s="255"/>
      <c r="CI95" s="255"/>
      <c r="CJ95" s="255"/>
      <c r="CK95" s="255"/>
      <c r="CL95" s="255"/>
      <c r="CM95" s="255"/>
      <c r="CN95" s="255"/>
      <c r="CO95" s="255"/>
      <c r="CP95" s="255"/>
      <c r="CQ95" s="255"/>
      <c r="CR95" s="255"/>
      <c r="CS95" s="255"/>
      <c r="CT95" s="255"/>
      <c r="CU95" s="255"/>
    </row>
    <row r="96" spans="1:255">
      <c r="A96" s="255"/>
      <c r="B96" s="255"/>
      <c r="C96" s="255"/>
      <c r="D96" s="255"/>
      <c r="E96" s="255"/>
      <c r="F96" s="255"/>
      <c r="G96" s="255"/>
      <c r="H96" s="255"/>
      <c r="I96" s="255"/>
      <c r="J96" s="255"/>
      <c r="K96" s="255"/>
      <c r="L96" s="255"/>
      <c r="M96" s="255"/>
      <c r="N96" s="255"/>
      <c r="O96" s="255"/>
      <c r="P96" s="255"/>
      <c r="Q96" s="255"/>
      <c r="R96" s="255"/>
      <c r="S96" s="256"/>
      <c r="T96" s="255"/>
      <c r="U96" s="255"/>
      <c r="V96" s="257"/>
      <c r="W96" s="257"/>
      <c r="X96" s="255"/>
      <c r="Y96" s="255"/>
      <c r="Z96" s="255"/>
      <c r="AA96" s="255"/>
      <c r="AB96" s="255"/>
      <c r="AC96" s="255"/>
      <c r="AD96" s="255"/>
      <c r="AE96" s="255"/>
      <c r="AF96" s="255"/>
      <c r="AG96" s="255"/>
      <c r="AH96" s="255"/>
      <c r="AI96" s="255"/>
      <c r="AJ96" s="255"/>
      <c r="AK96" s="255"/>
      <c r="AL96" s="255"/>
      <c r="AM96" s="255"/>
      <c r="AN96" s="255"/>
      <c r="AO96" s="255"/>
      <c r="AP96" s="255"/>
      <c r="AQ96" s="255"/>
      <c r="AR96" s="255"/>
      <c r="AS96" s="256"/>
      <c r="AT96" s="256"/>
      <c r="AU96" s="255"/>
      <c r="AV96" s="255"/>
      <c r="AW96" s="255"/>
      <c r="AX96" s="120"/>
      <c r="AY96" s="255"/>
      <c r="AZ96" s="255"/>
      <c r="BA96" s="255"/>
      <c r="BB96" s="255"/>
      <c r="BC96" s="255"/>
      <c r="BD96" s="255"/>
      <c r="BE96" s="255"/>
      <c r="BF96" s="120"/>
      <c r="BG96" s="120"/>
      <c r="BH96" s="255"/>
      <c r="BI96" s="255"/>
      <c r="BJ96" s="255"/>
      <c r="BK96" s="255"/>
      <c r="BL96" s="255"/>
      <c r="BM96" s="255"/>
      <c r="BN96" s="255"/>
      <c r="BO96" s="255"/>
      <c r="BP96" s="255"/>
      <c r="BQ96" s="255"/>
      <c r="BR96" s="255"/>
      <c r="BS96" s="255"/>
      <c r="BT96" s="255"/>
      <c r="BU96" s="255"/>
      <c r="BV96" s="255"/>
      <c r="BW96" s="255"/>
      <c r="BX96" s="255"/>
      <c r="BY96" s="255"/>
      <c r="BZ96" s="255"/>
      <c r="CA96" s="255"/>
      <c r="CB96" s="255"/>
      <c r="CC96" s="255"/>
      <c r="CD96" s="255"/>
      <c r="CE96" s="255"/>
      <c r="CF96" s="255"/>
      <c r="CG96" s="255"/>
      <c r="CH96" s="255"/>
      <c r="CI96" s="255"/>
      <c r="CJ96" s="255"/>
      <c r="CK96" s="255"/>
      <c r="CL96" s="255"/>
      <c r="CM96" s="255"/>
      <c r="CN96" s="255"/>
      <c r="CO96" s="255"/>
      <c r="CP96" s="255"/>
      <c r="CQ96" s="255"/>
      <c r="CR96" s="255"/>
      <c r="CS96" s="255"/>
      <c r="CT96" s="255"/>
      <c r="CU96" s="255"/>
    </row>
    <row r="97" spans="1:255">
      <c r="A97" s="255"/>
      <c r="B97" s="255"/>
      <c r="C97" s="255"/>
      <c r="D97" s="255"/>
      <c r="E97" s="255"/>
      <c r="F97" s="255"/>
      <c r="G97" s="255"/>
      <c r="H97" s="255"/>
      <c r="I97" s="255"/>
      <c r="J97" s="255"/>
      <c r="K97" s="255"/>
      <c r="L97" s="255"/>
      <c r="M97" s="255"/>
      <c r="N97" s="255"/>
      <c r="O97" s="255"/>
      <c r="P97" s="255"/>
      <c r="Q97" s="255"/>
      <c r="R97" s="255"/>
      <c r="S97" s="256"/>
      <c r="T97" s="255"/>
      <c r="U97" s="255"/>
      <c r="V97" s="257"/>
      <c r="W97" s="257"/>
      <c r="X97" s="255"/>
      <c r="Y97" s="255"/>
      <c r="Z97" s="255"/>
      <c r="AA97" s="255"/>
      <c r="AB97" s="255"/>
      <c r="AC97" s="255"/>
      <c r="AD97" s="255"/>
      <c r="AE97" s="255"/>
      <c r="AF97" s="255"/>
      <c r="AG97" s="255"/>
      <c r="AH97" s="255"/>
      <c r="AI97" s="255"/>
      <c r="AJ97" s="255"/>
      <c r="AK97" s="255"/>
      <c r="AL97" s="255"/>
      <c r="AM97" s="255"/>
      <c r="AN97" s="255"/>
      <c r="AO97" s="255"/>
      <c r="AP97" s="255"/>
      <c r="AQ97" s="255"/>
      <c r="AR97" s="255"/>
      <c r="AS97" s="256"/>
      <c r="AT97" s="256"/>
      <c r="AU97" s="255"/>
      <c r="AV97" s="255"/>
      <c r="AW97" s="255"/>
      <c r="AX97" s="120"/>
      <c r="AY97" s="255"/>
      <c r="AZ97" s="255"/>
      <c r="BA97" s="255"/>
      <c r="BB97" s="255"/>
      <c r="BC97" s="255"/>
      <c r="BD97" s="255"/>
      <c r="BE97" s="255"/>
      <c r="BF97" s="120"/>
      <c r="BG97" s="120"/>
      <c r="BH97" s="255"/>
      <c r="BI97" s="255"/>
      <c r="BJ97" s="255"/>
      <c r="BK97" s="255"/>
      <c r="BL97" s="255"/>
      <c r="BM97" s="255"/>
      <c r="BN97" s="255"/>
      <c r="BO97" s="255"/>
      <c r="BP97" s="255"/>
      <c r="BQ97" s="255"/>
      <c r="BR97" s="255"/>
      <c r="BS97" s="255"/>
      <c r="BT97" s="255"/>
      <c r="BU97" s="255"/>
      <c r="BV97" s="255"/>
      <c r="BW97" s="255"/>
      <c r="BX97" s="255"/>
      <c r="BY97" s="255"/>
      <c r="BZ97" s="255"/>
      <c r="CA97" s="255"/>
      <c r="CB97" s="255"/>
      <c r="CC97" s="255"/>
      <c r="CD97" s="255"/>
      <c r="CE97" s="255"/>
      <c r="CF97" s="255"/>
      <c r="CG97" s="255"/>
      <c r="CH97" s="255"/>
      <c r="CI97" s="255"/>
      <c r="CJ97" s="255"/>
      <c r="CK97" s="255"/>
      <c r="CL97" s="255"/>
      <c r="CM97" s="255"/>
      <c r="CN97" s="255"/>
      <c r="CO97" s="255"/>
      <c r="CP97" s="255"/>
      <c r="CQ97" s="255"/>
      <c r="CR97" s="255"/>
      <c r="CS97" s="255"/>
      <c r="CT97" s="255"/>
      <c r="CU97" s="255"/>
    </row>
    <row r="98" spans="1:255">
      <c r="A98" s="255"/>
      <c r="B98" s="255"/>
      <c r="C98" s="255"/>
      <c r="D98" s="255"/>
      <c r="E98" s="255"/>
      <c r="F98" s="255"/>
      <c r="G98" s="255"/>
      <c r="H98" s="255"/>
      <c r="I98" s="255"/>
      <c r="J98" s="255"/>
      <c r="K98" s="255"/>
      <c r="L98" s="255"/>
      <c r="M98" s="255"/>
      <c r="N98" s="255"/>
      <c r="O98" s="255"/>
      <c r="P98" s="255"/>
      <c r="Q98" s="255"/>
      <c r="R98" s="255"/>
      <c r="S98" s="256"/>
      <c r="T98" s="255"/>
      <c r="U98" s="255"/>
      <c r="V98" s="257"/>
      <c r="W98" s="257"/>
      <c r="X98" s="255"/>
      <c r="Y98" s="255"/>
      <c r="Z98" s="255"/>
      <c r="AA98" s="255"/>
      <c r="AB98" s="255"/>
      <c r="AC98" s="255"/>
      <c r="AD98" s="255"/>
      <c r="AE98" s="255"/>
      <c r="AF98" s="255"/>
      <c r="AG98" s="255"/>
      <c r="AH98" s="255"/>
      <c r="AI98" s="255"/>
      <c r="AJ98" s="255"/>
      <c r="AK98" s="255"/>
      <c r="AL98" s="255"/>
      <c r="AM98" s="255"/>
      <c r="AN98" s="255"/>
      <c r="AO98" s="255"/>
      <c r="AP98" s="255"/>
      <c r="AQ98" s="255"/>
      <c r="AR98" s="255"/>
      <c r="AS98" s="256"/>
      <c r="AT98" s="256"/>
      <c r="AU98" s="255"/>
      <c r="AV98" s="255"/>
      <c r="AW98" s="255"/>
      <c r="AX98" s="120"/>
      <c r="AY98" s="255"/>
      <c r="AZ98" s="255"/>
      <c r="BA98" s="255"/>
      <c r="BB98" s="255"/>
      <c r="BC98" s="255"/>
      <c r="BD98" s="255"/>
      <c r="BE98" s="255"/>
      <c r="BF98" s="120"/>
      <c r="BG98" s="120"/>
      <c r="BH98" s="255"/>
      <c r="BI98" s="255"/>
      <c r="BJ98" s="255"/>
      <c r="BK98" s="255"/>
      <c r="BL98" s="255"/>
      <c r="BM98" s="255"/>
      <c r="BN98" s="255"/>
      <c r="BO98" s="255"/>
      <c r="BP98" s="255"/>
      <c r="BQ98" s="255"/>
      <c r="BR98" s="255"/>
      <c r="BS98" s="255"/>
      <c r="BT98" s="255"/>
      <c r="BU98" s="255"/>
      <c r="BV98" s="255"/>
      <c r="BW98" s="255"/>
      <c r="BX98" s="255"/>
      <c r="BY98" s="255"/>
      <c r="BZ98" s="255"/>
      <c r="CA98" s="255"/>
      <c r="CB98" s="255"/>
      <c r="CC98" s="255"/>
      <c r="CD98" s="255"/>
      <c r="CE98" s="255"/>
      <c r="CF98" s="255"/>
      <c r="CG98" s="255"/>
      <c r="CH98" s="255"/>
      <c r="CI98" s="255"/>
      <c r="CJ98" s="255"/>
      <c r="CK98" s="255"/>
      <c r="CL98" s="255"/>
      <c r="CM98" s="255"/>
      <c r="CN98" s="255"/>
      <c r="CO98" s="255"/>
      <c r="CP98" s="255"/>
      <c r="CQ98" s="255"/>
      <c r="CR98" s="255"/>
      <c r="CS98" s="255"/>
      <c r="CT98" s="255"/>
      <c r="CU98" s="255"/>
    </row>
    <row r="99" spans="1:255">
      <c r="A99" s="255"/>
      <c r="B99" s="255"/>
      <c r="C99" s="255"/>
      <c r="D99" s="255"/>
      <c r="E99" s="255"/>
      <c r="F99" s="255"/>
      <c r="G99" s="255"/>
      <c r="H99" s="255"/>
      <c r="I99" s="255"/>
      <c r="J99" s="255"/>
      <c r="K99" s="255"/>
      <c r="L99" s="255"/>
      <c r="M99" s="255"/>
      <c r="N99" s="255"/>
      <c r="O99" s="255"/>
      <c r="P99" s="255"/>
      <c r="Q99" s="255"/>
      <c r="R99" s="255"/>
      <c r="S99" s="256"/>
      <c r="T99" s="255"/>
      <c r="U99" s="255"/>
      <c r="V99" s="257"/>
      <c r="W99" s="257"/>
      <c r="X99" s="255"/>
      <c r="Y99" s="255"/>
      <c r="Z99" s="255"/>
      <c r="AA99" s="255"/>
      <c r="AB99" s="255"/>
      <c r="AC99" s="255"/>
      <c r="AD99" s="255"/>
      <c r="AE99" s="255"/>
      <c r="AF99" s="255"/>
      <c r="AG99" s="255"/>
      <c r="AH99" s="255"/>
      <c r="AI99" s="255"/>
      <c r="AJ99" s="255"/>
      <c r="AK99" s="255"/>
      <c r="AL99" s="255"/>
      <c r="AM99" s="255"/>
      <c r="AN99" s="255"/>
      <c r="AO99" s="255"/>
      <c r="AP99" s="255"/>
      <c r="AQ99" s="255"/>
      <c r="AR99" s="255"/>
      <c r="AS99" s="256"/>
      <c r="AT99" s="256"/>
      <c r="AU99" s="255"/>
      <c r="AV99" s="255"/>
      <c r="AW99" s="255"/>
      <c r="AX99" s="120"/>
      <c r="AY99" s="255"/>
      <c r="AZ99" s="255"/>
      <c r="BA99" s="255"/>
      <c r="BB99" s="255"/>
      <c r="BC99" s="255"/>
      <c r="BD99" s="255"/>
      <c r="BE99" s="255"/>
      <c r="BF99" s="120"/>
      <c r="BG99" s="120"/>
      <c r="BH99" s="255"/>
      <c r="BI99" s="255"/>
      <c r="BJ99" s="255"/>
      <c r="BK99" s="255"/>
      <c r="BL99" s="255"/>
      <c r="BM99" s="255"/>
      <c r="BN99" s="255"/>
      <c r="BO99" s="255"/>
      <c r="BP99" s="255"/>
      <c r="BQ99" s="255"/>
      <c r="BR99" s="255"/>
      <c r="BS99" s="255"/>
      <c r="BT99" s="255"/>
      <c r="BU99" s="255"/>
      <c r="BV99" s="255"/>
      <c r="BW99" s="255"/>
      <c r="BX99" s="255"/>
      <c r="BY99" s="255"/>
      <c r="BZ99" s="255"/>
      <c r="CA99" s="255"/>
      <c r="CB99" s="255"/>
      <c r="CC99" s="255"/>
      <c r="CD99" s="255"/>
      <c r="CE99" s="255"/>
      <c r="CF99" s="255"/>
      <c r="CG99" s="255"/>
      <c r="CH99" s="255"/>
      <c r="CI99" s="255"/>
      <c r="CJ99" s="255"/>
      <c r="CK99" s="255"/>
      <c r="CL99" s="255"/>
      <c r="CM99" s="255"/>
      <c r="CN99" s="255"/>
      <c r="CO99" s="255"/>
      <c r="CP99" s="255"/>
      <c r="CQ99" s="255"/>
      <c r="CR99" s="255"/>
      <c r="CS99" s="255"/>
      <c r="CT99" s="255"/>
      <c r="CU99" s="255"/>
    </row>
    <row r="100" spans="1:255">
      <c r="A100" s="255"/>
      <c r="B100" s="255"/>
      <c r="C100" s="255"/>
      <c r="D100" s="255"/>
      <c r="E100" s="255"/>
      <c r="F100" s="255"/>
      <c r="G100" s="255"/>
      <c r="H100" s="255"/>
      <c r="I100" s="255"/>
      <c r="J100" s="255"/>
      <c r="K100" s="255"/>
      <c r="L100" s="255"/>
      <c r="M100" s="255"/>
      <c r="N100" s="255"/>
      <c r="O100" s="255"/>
      <c r="P100" s="255"/>
      <c r="Q100" s="255"/>
      <c r="R100" s="255"/>
      <c r="S100" s="256"/>
      <c r="T100" s="255"/>
      <c r="U100" s="255"/>
      <c r="V100" s="257"/>
      <c r="W100" s="257"/>
      <c r="X100" s="255"/>
      <c r="Y100" s="255"/>
      <c r="Z100" s="255"/>
      <c r="AA100" s="255"/>
      <c r="AB100" s="255"/>
      <c r="AC100" s="255"/>
      <c r="AD100" s="255"/>
      <c r="AE100" s="255"/>
      <c r="AF100" s="255"/>
      <c r="AG100" s="255"/>
      <c r="AH100" s="255"/>
      <c r="AI100" s="255"/>
      <c r="AJ100" s="255"/>
      <c r="AK100" s="255"/>
      <c r="AL100" s="255"/>
      <c r="AM100" s="255"/>
      <c r="AN100" s="255"/>
      <c r="AO100" s="255"/>
      <c r="AP100" s="255"/>
      <c r="AQ100" s="255"/>
      <c r="AR100" s="255"/>
      <c r="AS100" s="256"/>
      <c r="AT100" s="256"/>
      <c r="AU100" s="255"/>
      <c r="AV100" s="255"/>
      <c r="AW100" s="255"/>
      <c r="AX100" s="120"/>
      <c r="AY100" s="255"/>
      <c r="AZ100" s="255"/>
      <c r="BA100" s="255"/>
      <c r="BB100" s="255"/>
      <c r="BC100" s="255"/>
      <c r="BD100" s="255"/>
      <c r="BE100" s="255"/>
      <c r="BF100" s="120"/>
      <c r="BG100" s="120"/>
      <c r="BH100" s="255"/>
      <c r="BI100" s="255"/>
      <c r="BJ100" s="255"/>
      <c r="BK100" s="255"/>
      <c r="BL100" s="255"/>
      <c r="BM100" s="255"/>
      <c r="BN100" s="255"/>
      <c r="BO100" s="255"/>
      <c r="BP100" s="255"/>
      <c r="BQ100" s="255"/>
      <c r="BR100" s="255"/>
      <c r="BS100" s="255"/>
      <c r="BT100" s="255"/>
      <c r="BU100" s="255"/>
      <c r="BV100" s="255"/>
      <c r="BW100" s="255"/>
      <c r="BX100" s="255"/>
      <c r="BY100" s="255"/>
      <c r="BZ100" s="255"/>
      <c r="CA100" s="255"/>
      <c r="CB100" s="255"/>
      <c r="CC100" s="255"/>
      <c r="CD100" s="255"/>
      <c r="CE100" s="255"/>
      <c r="CF100" s="255"/>
      <c r="CG100" s="255"/>
      <c r="CH100" s="255"/>
      <c r="CI100" s="255"/>
      <c r="CJ100" s="255"/>
      <c r="CK100" s="255"/>
      <c r="CL100" s="255"/>
      <c r="CM100" s="255"/>
      <c r="CN100" s="255"/>
      <c r="CO100" s="255"/>
      <c r="CP100" s="255"/>
      <c r="CQ100" s="255"/>
      <c r="CR100" s="255"/>
      <c r="CS100" s="255"/>
      <c r="CT100" s="255"/>
      <c r="CU100" s="255"/>
    </row>
    <row r="101" spans="1:255">
      <c r="A101" s="255"/>
      <c r="B101" s="255"/>
      <c r="C101" s="255"/>
      <c r="D101" s="255"/>
      <c r="E101" s="255"/>
      <c r="F101" s="255"/>
      <c r="G101" s="255"/>
      <c r="H101" s="255"/>
      <c r="I101" s="255"/>
      <c r="J101" s="255"/>
      <c r="K101" s="255"/>
      <c r="L101" s="255"/>
      <c r="M101" s="255"/>
      <c r="N101" s="255"/>
      <c r="O101" s="255"/>
      <c r="P101" s="255"/>
      <c r="Q101" s="255"/>
      <c r="R101" s="255"/>
      <c r="S101" s="256"/>
      <c r="T101" s="255"/>
      <c r="U101" s="255"/>
      <c r="V101" s="257"/>
      <c r="W101" s="257"/>
      <c r="X101" s="255"/>
      <c r="Y101" s="255"/>
      <c r="Z101" s="255"/>
      <c r="AA101" s="255"/>
      <c r="AB101" s="255"/>
      <c r="AC101" s="255"/>
      <c r="AD101" s="255"/>
      <c r="AE101" s="255"/>
      <c r="AF101" s="255"/>
      <c r="AG101" s="255"/>
      <c r="AH101" s="255"/>
      <c r="AI101" s="255"/>
      <c r="AJ101" s="255"/>
      <c r="AK101" s="255"/>
      <c r="AL101" s="255"/>
      <c r="AM101" s="255"/>
      <c r="AN101" s="255"/>
      <c r="AO101" s="255"/>
      <c r="AP101" s="255"/>
      <c r="AQ101" s="255"/>
      <c r="AR101" s="255"/>
      <c r="AS101" s="256"/>
      <c r="AT101" s="256"/>
      <c r="AU101" s="255"/>
      <c r="AV101" s="255"/>
      <c r="AW101" s="255"/>
      <c r="AX101" s="120"/>
      <c r="AY101" s="255"/>
      <c r="AZ101" s="255"/>
      <c r="BA101" s="255"/>
      <c r="BB101" s="255"/>
      <c r="BC101" s="255"/>
      <c r="BD101" s="255"/>
      <c r="BE101" s="255"/>
      <c r="BF101" s="120"/>
      <c r="BG101" s="120"/>
      <c r="BH101" s="255"/>
      <c r="BI101" s="255"/>
      <c r="BJ101" s="255"/>
      <c r="BK101" s="255"/>
      <c r="BL101" s="255"/>
      <c r="BM101" s="255"/>
      <c r="BN101" s="255"/>
      <c r="BO101" s="255"/>
      <c r="BP101" s="255"/>
      <c r="BQ101" s="255"/>
      <c r="BR101" s="255"/>
      <c r="BS101" s="255"/>
      <c r="BT101" s="255"/>
      <c r="BU101" s="255"/>
      <c r="BV101" s="255"/>
      <c r="BW101" s="255"/>
      <c r="BX101" s="255"/>
      <c r="BY101" s="255"/>
      <c r="BZ101" s="255"/>
      <c r="CA101" s="255"/>
      <c r="CB101" s="255"/>
      <c r="CC101" s="255"/>
      <c r="CD101" s="255"/>
      <c r="CE101" s="255"/>
      <c r="CF101" s="255"/>
      <c r="CG101" s="255"/>
      <c r="CH101" s="255"/>
      <c r="CI101" s="255"/>
      <c r="CJ101" s="255"/>
      <c r="CK101" s="255"/>
      <c r="CL101" s="255"/>
      <c r="CM101" s="255"/>
      <c r="CN101" s="255"/>
      <c r="CO101" s="255"/>
      <c r="CP101" s="255"/>
      <c r="CQ101" s="255"/>
      <c r="CR101" s="255"/>
      <c r="CS101" s="255"/>
      <c r="CT101" s="255"/>
      <c r="CU101" s="255"/>
    </row>
    <row r="102" spans="1:255">
      <c r="A102" s="255"/>
      <c r="B102" s="255"/>
      <c r="C102" s="255"/>
      <c r="D102" s="255"/>
      <c r="E102" s="255"/>
      <c r="F102" s="255"/>
      <c r="G102" s="255"/>
      <c r="H102" s="255"/>
      <c r="I102" s="255"/>
      <c r="J102" s="255"/>
      <c r="K102" s="255"/>
      <c r="L102" s="255"/>
      <c r="M102" s="255"/>
      <c r="N102" s="255"/>
      <c r="O102" s="255"/>
      <c r="P102" s="255"/>
      <c r="Q102" s="255"/>
      <c r="R102" s="255"/>
      <c r="S102" s="256"/>
      <c r="T102" s="255"/>
      <c r="U102" s="255"/>
      <c r="V102" s="257"/>
      <c r="W102" s="257"/>
      <c r="X102" s="255"/>
      <c r="Y102" s="255"/>
      <c r="Z102" s="255"/>
      <c r="AA102" s="255"/>
      <c r="AB102" s="255"/>
      <c r="AC102" s="255"/>
      <c r="AD102" s="255"/>
      <c r="AE102" s="255"/>
      <c r="AF102" s="255"/>
      <c r="AG102" s="255"/>
      <c r="AH102" s="255"/>
      <c r="AI102" s="255"/>
      <c r="AJ102" s="255"/>
      <c r="AK102" s="255"/>
      <c r="AL102" s="255"/>
      <c r="AM102" s="255"/>
      <c r="AN102" s="255"/>
      <c r="AO102" s="255"/>
      <c r="AP102" s="255"/>
      <c r="AQ102" s="255"/>
      <c r="AR102" s="255"/>
      <c r="AS102" s="256"/>
      <c r="AT102" s="256"/>
      <c r="AU102" s="255"/>
      <c r="AV102" s="255"/>
      <c r="AW102" s="255"/>
      <c r="AX102" s="120"/>
      <c r="AY102" s="255"/>
      <c r="AZ102" s="255"/>
      <c r="BA102" s="255"/>
      <c r="BB102" s="255"/>
      <c r="BC102" s="255"/>
      <c r="BD102" s="255"/>
      <c r="BE102" s="255"/>
      <c r="BF102" s="120"/>
      <c r="BG102" s="120"/>
      <c r="BH102" s="255"/>
      <c r="BI102" s="255"/>
      <c r="BJ102" s="255"/>
      <c r="BK102" s="255"/>
      <c r="BL102" s="255"/>
      <c r="BM102" s="255"/>
      <c r="BN102" s="255"/>
      <c r="BO102" s="255"/>
      <c r="BP102" s="255"/>
      <c r="BQ102" s="255"/>
      <c r="BR102" s="255"/>
      <c r="BS102" s="255"/>
      <c r="BT102" s="255"/>
      <c r="BU102" s="255"/>
      <c r="BV102" s="255"/>
      <c r="BW102" s="255"/>
      <c r="BX102" s="255"/>
      <c r="BY102" s="255"/>
      <c r="BZ102" s="255"/>
      <c r="CA102" s="255"/>
      <c r="CB102" s="255"/>
      <c r="CC102" s="255"/>
      <c r="CD102" s="255"/>
      <c r="CE102" s="255"/>
      <c r="CF102" s="255"/>
      <c r="CG102" s="255"/>
      <c r="CH102" s="255"/>
      <c r="CI102" s="255"/>
      <c r="CJ102" s="255"/>
      <c r="CK102" s="255"/>
      <c r="CL102" s="255"/>
      <c r="CM102" s="255"/>
      <c r="CN102" s="255"/>
      <c r="CO102" s="255"/>
      <c r="CP102" s="255"/>
      <c r="CQ102" s="255"/>
      <c r="CR102" s="255"/>
      <c r="CS102" s="255"/>
      <c r="CT102" s="255"/>
      <c r="CU102" s="255"/>
    </row>
    <row r="103" spans="1:255">
      <c r="A103" s="255"/>
      <c r="B103" s="255"/>
      <c r="C103" s="255"/>
      <c r="D103" s="255"/>
      <c r="E103" s="255"/>
      <c r="F103" s="255"/>
      <c r="G103" s="255"/>
      <c r="H103" s="255"/>
      <c r="I103" s="255"/>
      <c r="J103" s="255"/>
      <c r="K103" s="255"/>
      <c r="L103" s="255"/>
      <c r="M103" s="255"/>
      <c r="N103" s="255"/>
      <c r="O103" s="255"/>
      <c r="P103" s="255"/>
      <c r="Q103" s="255"/>
      <c r="R103" s="255"/>
      <c r="S103" s="256"/>
      <c r="T103" s="255"/>
      <c r="U103" s="255"/>
      <c r="V103" s="257"/>
      <c r="W103" s="257"/>
      <c r="X103" s="255"/>
      <c r="Y103" s="255"/>
      <c r="Z103" s="255"/>
      <c r="AA103" s="255"/>
      <c r="AB103" s="255"/>
      <c r="AC103" s="255"/>
      <c r="AD103" s="255"/>
      <c r="AE103" s="255"/>
      <c r="AF103" s="255"/>
      <c r="AG103" s="255"/>
      <c r="AH103" s="255"/>
      <c r="AI103" s="255"/>
      <c r="AJ103" s="255"/>
      <c r="AK103" s="255"/>
      <c r="AL103" s="255"/>
      <c r="AM103" s="255"/>
      <c r="AN103" s="255"/>
      <c r="AO103" s="255"/>
      <c r="AP103" s="255"/>
      <c r="AQ103" s="255"/>
      <c r="AR103" s="255"/>
      <c r="AS103" s="256"/>
      <c r="AT103" s="256"/>
      <c r="AU103" s="255"/>
      <c r="AV103" s="255"/>
      <c r="AW103" s="255"/>
      <c r="AX103" s="120"/>
      <c r="AY103" s="255"/>
      <c r="AZ103" s="255"/>
      <c r="BA103" s="255"/>
      <c r="BB103" s="255"/>
      <c r="BC103" s="255"/>
      <c r="BD103" s="255"/>
      <c r="BE103" s="255"/>
      <c r="BF103" s="120"/>
      <c r="BG103" s="120"/>
      <c r="BH103" s="255"/>
      <c r="BI103" s="255"/>
      <c r="BJ103" s="255"/>
      <c r="BK103" s="255"/>
      <c r="BL103" s="255"/>
      <c r="BM103" s="255"/>
      <c r="BN103" s="255"/>
      <c r="BO103" s="255"/>
      <c r="BP103" s="255"/>
      <c r="BQ103" s="255"/>
      <c r="BR103" s="255"/>
      <c r="BS103" s="255"/>
      <c r="BT103" s="255"/>
      <c r="BU103" s="255"/>
      <c r="BV103" s="255"/>
      <c r="BW103" s="255"/>
      <c r="BX103" s="255"/>
      <c r="BY103" s="255"/>
      <c r="BZ103" s="255"/>
      <c r="CA103" s="255"/>
      <c r="CB103" s="255"/>
      <c r="CC103" s="255"/>
      <c r="CD103" s="255"/>
      <c r="CE103" s="255"/>
      <c r="CF103" s="255"/>
      <c r="CG103" s="255"/>
      <c r="CH103" s="255"/>
      <c r="CI103" s="255"/>
      <c r="CJ103" s="255"/>
      <c r="CK103" s="255"/>
      <c r="CL103" s="255"/>
      <c r="CM103" s="255"/>
      <c r="CN103" s="255"/>
      <c r="CO103" s="255"/>
      <c r="CP103" s="255"/>
      <c r="CQ103" s="255"/>
      <c r="CR103" s="255"/>
      <c r="CS103" s="255"/>
      <c r="CT103" s="255"/>
      <c r="CU103" s="255"/>
    </row>
    <row r="104" spans="1:255">
      <c r="A104" s="255"/>
      <c r="B104" s="255"/>
      <c r="C104" s="255"/>
      <c r="D104" s="255"/>
      <c r="E104" s="255"/>
      <c r="F104" s="255"/>
      <c r="G104" s="255"/>
      <c r="H104" s="255"/>
      <c r="I104" s="255"/>
      <c r="J104" s="255"/>
      <c r="K104" s="255"/>
      <c r="L104" s="255"/>
      <c r="M104" s="255"/>
      <c r="N104" s="255"/>
      <c r="O104" s="255"/>
      <c r="P104" s="255"/>
      <c r="Q104" s="255"/>
      <c r="R104" s="255"/>
      <c r="S104" s="256"/>
      <c r="T104" s="255"/>
      <c r="U104" s="255"/>
      <c r="V104" s="257"/>
      <c r="W104" s="257"/>
      <c r="X104" s="255"/>
      <c r="Y104" s="255"/>
      <c r="Z104" s="255"/>
      <c r="AA104" s="255"/>
      <c r="AB104" s="255"/>
      <c r="AC104" s="255"/>
      <c r="AD104" s="255"/>
      <c r="AE104" s="255"/>
      <c r="AF104" s="255"/>
      <c r="AG104" s="255"/>
      <c r="AH104" s="255"/>
      <c r="AI104" s="255"/>
      <c r="AJ104" s="255"/>
      <c r="AK104" s="255"/>
      <c r="AL104" s="255"/>
      <c r="AM104" s="255"/>
      <c r="AN104" s="255"/>
      <c r="AO104" s="255"/>
      <c r="AP104" s="255"/>
      <c r="AQ104" s="255"/>
      <c r="AR104" s="255"/>
      <c r="AS104" s="256"/>
      <c r="AT104" s="256"/>
      <c r="AU104" s="255"/>
      <c r="AV104" s="255"/>
      <c r="AW104" s="255"/>
      <c r="AX104" s="120"/>
      <c r="AY104" s="255"/>
      <c r="AZ104" s="255"/>
      <c r="BA104" s="255"/>
      <c r="BB104" s="255"/>
      <c r="BC104" s="255"/>
      <c r="BD104" s="255"/>
      <c r="BE104" s="255"/>
      <c r="BF104" s="120"/>
      <c r="BG104" s="120"/>
      <c r="BH104" s="255"/>
      <c r="BI104" s="255"/>
      <c r="BJ104" s="255"/>
      <c r="BK104" s="255"/>
      <c r="BL104" s="255"/>
      <c r="BM104" s="255"/>
      <c r="BN104" s="255"/>
      <c r="BO104" s="255"/>
      <c r="BP104" s="255"/>
      <c r="BQ104" s="255"/>
      <c r="BR104" s="255"/>
      <c r="BS104" s="255"/>
      <c r="BT104" s="255"/>
      <c r="BU104" s="255"/>
      <c r="BV104" s="255"/>
      <c r="BW104" s="255"/>
      <c r="BX104" s="255"/>
      <c r="BY104" s="255"/>
      <c r="BZ104" s="255"/>
      <c r="CA104" s="255"/>
      <c r="CB104" s="255"/>
      <c r="CC104" s="255"/>
      <c r="CD104" s="255"/>
      <c r="CE104" s="255"/>
      <c r="CF104" s="255"/>
      <c r="CG104" s="255"/>
      <c r="CH104" s="255"/>
      <c r="CI104" s="255"/>
      <c r="CJ104" s="255"/>
      <c r="CK104" s="255"/>
      <c r="CL104" s="255"/>
      <c r="CM104" s="255"/>
      <c r="CN104" s="255"/>
      <c r="CO104" s="255"/>
      <c r="CP104" s="255"/>
      <c r="CQ104" s="255"/>
      <c r="CR104" s="255"/>
      <c r="CS104" s="255"/>
      <c r="CT104" s="255"/>
      <c r="CU104" s="255"/>
    </row>
    <row r="105" spans="1:255">
      <c r="A105" s="255"/>
      <c r="B105" s="255"/>
      <c r="C105" s="255"/>
      <c r="D105" s="255"/>
      <c r="E105" s="255"/>
      <c r="F105" s="255"/>
      <c r="G105" s="255"/>
      <c r="H105" s="255"/>
      <c r="I105" s="255"/>
      <c r="J105" s="255"/>
      <c r="K105" s="255"/>
      <c r="L105" s="255"/>
      <c r="M105" s="255"/>
      <c r="N105" s="255"/>
      <c r="O105" s="255"/>
      <c r="P105" s="255"/>
      <c r="Q105" s="255"/>
      <c r="R105" s="255"/>
      <c r="S105" s="256"/>
      <c r="T105" s="255"/>
      <c r="U105" s="255"/>
      <c r="V105" s="257"/>
      <c r="W105" s="257"/>
      <c r="X105" s="255"/>
      <c r="Y105" s="255"/>
      <c r="Z105" s="255"/>
      <c r="AA105" s="255"/>
      <c r="AB105" s="255"/>
      <c r="AC105" s="255"/>
      <c r="AD105" s="255"/>
      <c r="AE105" s="255"/>
      <c r="AF105" s="255"/>
      <c r="AG105" s="255"/>
      <c r="AH105" s="255"/>
      <c r="AI105" s="255"/>
      <c r="AJ105" s="255"/>
      <c r="AK105" s="255"/>
      <c r="AL105" s="255"/>
      <c r="AM105" s="255"/>
      <c r="AN105" s="255"/>
      <c r="AO105" s="255"/>
      <c r="AP105" s="255"/>
      <c r="AQ105" s="255"/>
      <c r="AR105" s="255"/>
      <c r="AS105" s="256"/>
      <c r="AT105" s="256"/>
      <c r="AU105" s="255"/>
      <c r="AV105" s="255"/>
      <c r="AW105" s="255"/>
      <c r="AX105" s="120"/>
      <c r="AY105" s="255"/>
      <c r="AZ105" s="255"/>
      <c r="BA105" s="255"/>
      <c r="BB105" s="255"/>
      <c r="BC105" s="255"/>
      <c r="BD105" s="255"/>
      <c r="BE105" s="255"/>
      <c r="BF105" s="120"/>
      <c r="BG105" s="120"/>
      <c r="BH105" s="255"/>
      <c r="BI105" s="255"/>
      <c r="BJ105" s="255"/>
      <c r="BK105" s="255"/>
      <c r="BL105" s="255"/>
      <c r="BM105" s="255"/>
      <c r="BN105" s="255"/>
      <c r="BO105" s="255"/>
      <c r="BP105" s="255"/>
      <c r="BQ105" s="255"/>
      <c r="BR105" s="255"/>
      <c r="BS105" s="255"/>
      <c r="BT105" s="255"/>
      <c r="BU105" s="255"/>
      <c r="BV105" s="255"/>
      <c r="BW105" s="255"/>
      <c r="BX105" s="255"/>
      <c r="BY105" s="255"/>
      <c r="BZ105" s="255"/>
      <c r="CA105" s="255"/>
      <c r="CB105" s="255"/>
      <c r="CC105" s="255"/>
      <c r="CD105" s="255"/>
      <c r="CE105" s="255"/>
      <c r="CF105" s="255"/>
      <c r="CG105" s="255"/>
      <c r="CH105" s="255"/>
      <c r="CI105" s="255"/>
      <c r="CJ105" s="255"/>
      <c r="CK105" s="255"/>
      <c r="CL105" s="255"/>
      <c r="CM105" s="255"/>
      <c r="CN105" s="255"/>
      <c r="CO105" s="255"/>
      <c r="CP105" s="255"/>
      <c r="CQ105" s="255"/>
      <c r="CR105" s="255"/>
      <c r="CS105" s="255"/>
      <c r="CT105" s="255"/>
      <c r="CU105" s="255"/>
    </row>
    <row r="106" spans="1:255">
      <c r="A106" s="255"/>
      <c r="B106" s="255"/>
      <c r="C106" s="255"/>
      <c r="D106" s="255"/>
      <c r="E106" s="255"/>
      <c r="F106" s="255"/>
      <c r="G106" s="255"/>
      <c r="H106" s="255"/>
      <c r="I106" s="255"/>
      <c r="J106" s="255"/>
      <c r="K106" s="255"/>
      <c r="L106" s="255"/>
      <c r="M106" s="255"/>
      <c r="N106" s="255"/>
      <c r="O106" s="255"/>
      <c r="P106" s="255"/>
      <c r="Q106" s="255"/>
      <c r="R106" s="255"/>
      <c r="S106" s="256"/>
      <c r="T106" s="255"/>
      <c r="U106" s="255"/>
      <c r="V106" s="257"/>
      <c r="W106" s="257"/>
      <c r="X106" s="255"/>
      <c r="Y106" s="255"/>
      <c r="Z106" s="255"/>
      <c r="AA106" s="255"/>
      <c r="AB106" s="255"/>
      <c r="AC106" s="255"/>
      <c r="AD106" s="255"/>
      <c r="AE106" s="255"/>
      <c r="AF106" s="255"/>
      <c r="AG106" s="255"/>
      <c r="AH106" s="255"/>
      <c r="AI106" s="255"/>
      <c r="AJ106" s="255"/>
      <c r="AK106" s="255"/>
      <c r="AL106" s="255"/>
      <c r="AM106" s="255"/>
      <c r="AN106" s="255"/>
      <c r="AO106" s="255"/>
      <c r="AP106" s="255"/>
      <c r="AQ106" s="255"/>
      <c r="AR106" s="255"/>
      <c r="AS106" s="256"/>
      <c r="AT106" s="256"/>
      <c r="AU106" s="255"/>
      <c r="AV106" s="255"/>
      <c r="AW106" s="255"/>
      <c r="AX106" s="120"/>
      <c r="AY106" s="255"/>
      <c r="AZ106" s="255"/>
      <c r="BA106" s="255"/>
      <c r="BB106" s="255"/>
      <c r="BC106" s="255"/>
      <c r="BD106" s="255"/>
      <c r="BE106" s="255"/>
      <c r="BF106" s="120"/>
      <c r="BG106" s="120"/>
      <c r="BH106" s="255"/>
      <c r="BI106" s="255"/>
      <c r="BJ106" s="255"/>
      <c r="BK106" s="255"/>
      <c r="BL106" s="255"/>
      <c r="BM106" s="255"/>
      <c r="BN106" s="255"/>
      <c r="BO106" s="255"/>
      <c r="BP106" s="255"/>
      <c r="BQ106" s="255"/>
      <c r="BR106" s="255"/>
      <c r="BS106" s="255"/>
      <c r="BT106" s="255"/>
      <c r="BU106" s="255"/>
      <c r="BV106" s="255"/>
      <c r="BW106" s="255"/>
      <c r="BX106" s="255"/>
      <c r="BY106" s="255"/>
      <c r="BZ106" s="255"/>
      <c r="CA106" s="255"/>
      <c r="CB106" s="255"/>
      <c r="CC106" s="255"/>
      <c r="CD106" s="255"/>
      <c r="CE106" s="255"/>
      <c r="CF106" s="255"/>
      <c r="CG106" s="255"/>
      <c r="CH106" s="255"/>
      <c r="CI106" s="255"/>
      <c r="CJ106" s="255"/>
      <c r="CK106" s="255"/>
      <c r="CL106" s="255"/>
      <c r="CM106" s="255"/>
      <c r="CN106" s="255"/>
      <c r="CO106" s="255"/>
      <c r="CP106" s="255"/>
      <c r="CQ106" s="255"/>
      <c r="CR106" s="255"/>
      <c r="CS106" s="255"/>
      <c r="CT106" s="255"/>
      <c r="CU106" s="255"/>
    </row>
    <row r="107" spans="1:255">
      <c r="A107" s="255"/>
      <c r="B107" s="255"/>
      <c r="C107" s="255"/>
      <c r="D107" s="255"/>
      <c r="E107" s="255"/>
      <c r="F107" s="255"/>
      <c r="G107" s="255"/>
      <c r="H107" s="255"/>
      <c r="I107" s="255"/>
      <c r="J107" s="255"/>
      <c r="K107" s="255"/>
      <c r="L107" s="255"/>
      <c r="M107" s="255"/>
      <c r="N107" s="255"/>
      <c r="O107" s="255"/>
      <c r="P107" s="255"/>
      <c r="Q107" s="255"/>
      <c r="R107" s="255"/>
      <c r="S107" s="256"/>
      <c r="T107" s="255"/>
      <c r="U107" s="255"/>
      <c r="V107" s="257"/>
      <c r="W107" s="257"/>
      <c r="X107" s="255"/>
      <c r="Y107" s="255"/>
      <c r="Z107" s="255"/>
      <c r="AA107" s="255"/>
      <c r="AB107" s="255"/>
      <c r="AC107" s="255"/>
      <c r="AD107" s="255"/>
      <c r="AE107" s="255"/>
      <c r="AF107" s="255"/>
      <c r="AG107" s="255"/>
      <c r="AH107" s="255"/>
      <c r="AI107" s="255"/>
      <c r="AJ107" s="255"/>
      <c r="AK107" s="255"/>
      <c r="AL107" s="255"/>
      <c r="AM107" s="255"/>
      <c r="AN107" s="255"/>
      <c r="AO107" s="255"/>
      <c r="AP107" s="255"/>
      <c r="AQ107" s="255"/>
      <c r="AR107" s="255"/>
      <c r="AS107" s="256"/>
      <c r="AT107" s="256"/>
      <c r="AU107" s="255"/>
      <c r="AV107" s="255"/>
      <c r="AW107" s="255"/>
      <c r="AX107" s="120"/>
      <c r="AY107" s="255"/>
      <c r="AZ107" s="255"/>
      <c r="BA107" s="255"/>
      <c r="BB107" s="255"/>
      <c r="BC107" s="255"/>
      <c r="BD107" s="255"/>
      <c r="BE107" s="255"/>
      <c r="BF107" s="120"/>
      <c r="BG107" s="120"/>
      <c r="BH107" s="255"/>
      <c r="BI107" s="255"/>
      <c r="BJ107" s="255"/>
      <c r="BK107" s="255"/>
      <c r="BL107" s="255"/>
      <c r="BM107" s="255"/>
      <c r="BN107" s="255"/>
      <c r="BO107" s="255"/>
      <c r="BP107" s="255"/>
      <c r="BQ107" s="255"/>
      <c r="BR107" s="255"/>
      <c r="BS107" s="255"/>
      <c r="BT107" s="255"/>
      <c r="BU107" s="255"/>
      <c r="BV107" s="255"/>
      <c r="BW107" s="255"/>
      <c r="BX107" s="255"/>
      <c r="BY107" s="255"/>
      <c r="BZ107" s="255"/>
      <c r="CA107" s="255"/>
      <c r="CB107" s="255"/>
      <c r="CC107" s="255"/>
      <c r="CD107" s="255"/>
      <c r="CE107" s="255"/>
      <c r="CF107" s="255"/>
      <c r="CG107" s="255"/>
      <c r="CH107" s="255"/>
      <c r="CI107" s="255"/>
      <c r="CJ107" s="255"/>
      <c r="CK107" s="255"/>
      <c r="CL107" s="255"/>
      <c r="CM107" s="255"/>
      <c r="CN107" s="255"/>
      <c r="CO107" s="255"/>
      <c r="CP107" s="255"/>
      <c r="CQ107" s="255"/>
      <c r="CR107" s="255"/>
      <c r="CS107" s="255"/>
      <c r="CT107" s="255"/>
      <c r="CU107" s="255"/>
    </row>
    <row r="108" spans="1:255">
      <c r="A108" s="255"/>
      <c r="B108" s="255"/>
      <c r="C108" s="255"/>
      <c r="D108" s="255"/>
      <c r="E108" s="255"/>
      <c r="F108" s="255"/>
      <c r="G108" s="255"/>
      <c r="H108" s="255"/>
      <c r="I108" s="255"/>
      <c r="J108" s="255"/>
      <c r="K108" s="255"/>
      <c r="L108" s="255"/>
      <c r="M108" s="255"/>
      <c r="N108" s="255"/>
      <c r="O108" s="255"/>
      <c r="P108" s="255"/>
      <c r="Q108" s="255"/>
      <c r="R108" s="255"/>
      <c r="S108" s="256"/>
      <c r="T108" s="255"/>
      <c r="U108" s="255"/>
      <c r="V108" s="257"/>
      <c r="W108" s="257"/>
      <c r="X108" s="255"/>
      <c r="Y108" s="255"/>
      <c r="Z108" s="255"/>
      <c r="AA108" s="255"/>
      <c r="AB108" s="255"/>
      <c r="AC108" s="255"/>
      <c r="AD108" s="255"/>
      <c r="AE108" s="255"/>
      <c r="AF108" s="255"/>
      <c r="AG108" s="255"/>
      <c r="AH108" s="255"/>
      <c r="AI108" s="255"/>
      <c r="AJ108" s="255"/>
      <c r="AK108" s="255"/>
      <c r="AL108" s="255"/>
      <c r="AM108" s="255"/>
      <c r="AN108" s="255"/>
      <c r="AO108" s="255"/>
      <c r="AP108" s="255"/>
      <c r="AQ108" s="255"/>
      <c r="AR108" s="255"/>
      <c r="AS108" s="256"/>
      <c r="AT108" s="256"/>
      <c r="AU108" s="255"/>
      <c r="AV108" s="255"/>
      <c r="AW108" s="255"/>
      <c r="AX108" s="120"/>
      <c r="AY108" s="255"/>
      <c r="AZ108" s="255"/>
      <c r="BA108" s="255"/>
      <c r="BB108" s="255"/>
      <c r="BC108" s="255"/>
      <c r="BD108" s="255"/>
      <c r="BE108" s="255"/>
      <c r="BF108" s="120"/>
      <c r="BG108" s="120"/>
      <c r="BH108" s="255"/>
      <c r="BI108" s="255"/>
      <c r="BJ108" s="255"/>
      <c r="BK108" s="255"/>
      <c r="BL108" s="255"/>
      <c r="BM108" s="255"/>
      <c r="BN108" s="255"/>
      <c r="BO108" s="255"/>
      <c r="BP108" s="255"/>
      <c r="BQ108" s="255"/>
      <c r="BR108" s="255"/>
      <c r="BS108" s="255"/>
      <c r="BT108" s="255"/>
      <c r="BU108" s="255"/>
      <c r="BV108" s="255"/>
      <c r="BW108" s="255"/>
      <c r="BX108" s="255"/>
      <c r="BY108" s="255"/>
      <c r="BZ108" s="255"/>
      <c r="CA108" s="255"/>
      <c r="CB108" s="255"/>
      <c r="CC108" s="255"/>
      <c r="CD108" s="255"/>
      <c r="CE108" s="255"/>
      <c r="CF108" s="255"/>
      <c r="CG108" s="255"/>
      <c r="CH108" s="255"/>
      <c r="CI108" s="255"/>
      <c r="CJ108" s="255"/>
      <c r="CK108" s="255"/>
      <c r="CL108" s="255"/>
      <c r="CM108" s="255"/>
      <c r="CN108" s="255"/>
      <c r="CO108" s="255"/>
      <c r="CP108" s="255"/>
      <c r="CQ108" s="255"/>
      <c r="CR108" s="255"/>
      <c r="CS108" s="255"/>
      <c r="CT108" s="255"/>
      <c r="CU108" s="255"/>
    </row>
    <row r="109" spans="1:255">
      <c r="A109" s="255"/>
      <c r="B109" s="255"/>
      <c r="C109" s="255"/>
      <c r="D109" s="255"/>
      <c r="E109" s="255"/>
      <c r="F109" s="255"/>
      <c r="G109" s="255"/>
      <c r="H109" s="255"/>
      <c r="I109" s="255"/>
      <c r="J109" s="255"/>
      <c r="K109" s="255"/>
      <c r="L109" s="255"/>
      <c r="M109" s="255"/>
      <c r="N109" s="255"/>
      <c r="O109" s="255"/>
      <c r="P109" s="255"/>
      <c r="Q109" s="255"/>
      <c r="R109" s="255"/>
      <c r="S109" s="256"/>
      <c r="T109" s="255"/>
      <c r="U109" s="255"/>
      <c r="V109" s="257"/>
      <c r="W109" s="257"/>
      <c r="X109" s="255"/>
      <c r="Y109" s="255"/>
      <c r="Z109" s="255"/>
      <c r="AA109" s="255"/>
      <c r="AB109" s="255"/>
      <c r="AC109" s="255"/>
      <c r="AD109" s="255"/>
      <c r="AE109" s="255"/>
      <c r="AF109" s="255"/>
      <c r="AG109" s="255"/>
      <c r="AH109" s="255"/>
      <c r="AI109" s="255"/>
      <c r="AJ109" s="255"/>
      <c r="AK109" s="255"/>
      <c r="AL109" s="255"/>
      <c r="AM109" s="255"/>
      <c r="AN109" s="255"/>
      <c r="AO109" s="255"/>
      <c r="AP109" s="255"/>
      <c r="AQ109" s="255"/>
      <c r="AR109" s="255"/>
      <c r="AS109" s="256"/>
      <c r="AT109" s="256"/>
      <c r="AU109" s="255"/>
      <c r="AV109" s="255"/>
      <c r="AW109" s="255"/>
      <c r="AX109" s="120"/>
      <c r="AY109" s="255"/>
      <c r="AZ109" s="255"/>
      <c r="BA109" s="255"/>
      <c r="BB109" s="255"/>
      <c r="BC109" s="255"/>
      <c r="BD109" s="255"/>
      <c r="BE109" s="255"/>
      <c r="BF109" s="120"/>
      <c r="BG109" s="120"/>
      <c r="BH109" s="255"/>
      <c r="BI109" s="255"/>
      <c r="BJ109" s="255"/>
      <c r="BK109" s="255"/>
      <c r="BL109" s="255"/>
      <c r="BM109" s="255"/>
      <c r="BN109" s="255"/>
      <c r="BO109" s="255"/>
      <c r="BP109" s="255"/>
      <c r="BQ109" s="255"/>
      <c r="BR109" s="255"/>
      <c r="BS109" s="255"/>
      <c r="BT109" s="255"/>
      <c r="BU109" s="255"/>
      <c r="BV109" s="255"/>
      <c r="BW109" s="255"/>
      <c r="BX109" s="255"/>
      <c r="BY109" s="255"/>
      <c r="BZ109" s="255"/>
      <c r="CA109" s="255"/>
      <c r="CB109" s="255"/>
      <c r="CC109" s="255"/>
      <c r="CD109" s="255"/>
      <c r="CE109" s="255"/>
      <c r="CF109" s="255"/>
      <c r="CG109" s="255"/>
      <c r="CH109" s="255"/>
      <c r="CI109" s="255"/>
      <c r="CJ109" s="255"/>
      <c r="CK109" s="255"/>
      <c r="CL109" s="255"/>
      <c r="CM109" s="255"/>
      <c r="CN109" s="255"/>
      <c r="CO109" s="255"/>
      <c r="CP109" s="255"/>
      <c r="CQ109" s="255"/>
      <c r="CR109" s="255"/>
      <c r="CS109" s="255"/>
      <c r="CT109" s="255"/>
      <c r="CU109" s="255"/>
    </row>
    <row r="110" spans="1:255">
      <c r="A110" s="255"/>
      <c r="B110" s="255"/>
      <c r="C110" s="255"/>
      <c r="D110" s="255"/>
      <c r="E110" s="255"/>
      <c r="F110" s="255"/>
      <c r="G110" s="255"/>
      <c r="H110" s="255"/>
      <c r="I110" s="255"/>
      <c r="J110" s="255"/>
      <c r="K110" s="255"/>
      <c r="L110" s="255"/>
      <c r="M110" s="255"/>
      <c r="N110" s="255"/>
      <c r="O110" s="255"/>
      <c r="P110" s="255"/>
      <c r="Q110" s="255"/>
      <c r="R110" s="255"/>
      <c r="S110" s="256"/>
      <c r="T110" s="255"/>
      <c r="U110" s="255"/>
      <c r="V110" s="257"/>
      <c r="W110" s="257"/>
      <c r="X110" s="255"/>
      <c r="Y110" s="255"/>
      <c r="Z110" s="255"/>
      <c r="AA110" s="255"/>
      <c r="AB110" s="255"/>
      <c r="AC110" s="255"/>
      <c r="AD110" s="255"/>
      <c r="AE110" s="255"/>
      <c r="AF110" s="255"/>
      <c r="AG110" s="255"/>
      <c r="AH110" s="255"/>
      <c r="AI110" s="255"/>
      <c r="AJ110" s="255"/>
      <c r="AK110" s="255"/>
      <c r="AL110" s="255"/>
      <c r="AM110" s="255"/>
      <c r="AN110" s="255"/>
      <c r="AO110" s="255"/>
      <c r="AP110" s="255"/>
      <c r="AQ110" s="255"/>
      <c r="AR110" s="255"/>
      <c r="AS110" s="256"/>
      <c r="AT110" s="256"/>
      <c r="AU110" s="255"/>
      <c r="AV110" s="255"/>
      <c r="AW110" s="255"/>
      <c r="AX110" s="120"/>
      <c r="AY110" s="255"/>
      <c r="AZ110" s="255"/>
      <c r="BA110" s="255"/>
      <c r="BB110" s="255"/>
      <c r="BC110" s="255"/>
      <c r="BD110" s="255"/>
      <c r="BE110" s="255"/>
      <c r="BF110" s="120"/>
      <c r="BG110" s="120"/>
      <c r="BH110" s="255"/>
      <c r="BI110" s="255"/>
      <c r="BJ110" s="255"/>
      <c r="BK110" s="255"/>
      <c r="BL110" s="255"/>
      <c r="BM110" s="255"/>
      <c r="BN110" s="255"/>
      <c r="BO110" s="255"/>
      <c r="BP110" s="255"/>
      <c r="BQ110" s="255"/>
      <c r="BR110" s="255"/>
      <c r="BS110" s="255"/>
      <c r="BT110" s="255"/>
      <c r="BU110" s="255"/>
      <c r="BV110" s="255"/>
      <c r="BW110" s="255"/>
      <c r="BX110" s="255"/>
      <c r="BY110" s="255"/>
      <c r="BZ110" s="255"/>
      <c r="CA110" s="255"/>
      <c r="CB110" s="255"/>
      <c r="CC110" s="255"/>
      <c r="CD110" s="255"/>
      <c r="CE110" s="255"/>
      <c r="CF110" s="255"/>
      <c r="CG110" s="255"/>
      <c r="CH110" s="255"/>
      <c r="CI110" s="255"/>
      <c r="CJ110" s="255"/>
      <c r="CK110" s="255"/>
      <c r="CL110" s="255"/>
      <c r="CM110" s="255"/>
      <c r="CN110" s="255"/>
      <c r="CO110" s="255"/>
      <c r="CP110" s="255"/>
      <c r="CQ110" s="255"/>
      <c r="CR110" s="255"/>
      <c r="CS110" s="255"/>
      <c r="CT110" s="255"/>
      <c r="CU110" s="255"/>
    </row>
    <row r="111" spans="1:255">
      <c r="A111" s="255"/>
      <c r="B111" s="255"/>
      <c r="C111" s="255"/>
      <c r="D111" s="255"/>
      <c r="E111" s="255"/>
      <c r="F111" s="255"/>
      <c r="G111" s="255"/>
      <c r="H111" s="255"/>
      <c r="I111" s="255"/>
      <c r="J111" s="255"/>
      <c r="K111" s="255"/>
      <c r="L111" s="255"/>
      <c r="M111" s="255"/>
      <c r="N111" s="255"/>
      <c r="O111" s="255"/>
      <c r="P111" s="255"/>
      <c r="Q111" s="255"/>
      <c r="R111" s="255"/>
      <c r="S111" s="256"/>
      <c r="T111" s="255"/>
      <c r="U111" s="255"/>
      <c r="V111" s="257"/>
      <c r="W111" s="257"/>
      <c r="X111" s="255"/>
      <c r="Y111" s="255"/>
      <c r="Z111" s="255"/>
      <c r="AA111" s="255"/>
      <c r="AB111" s="255"/>
      <c r="AC111" s="255"/>
      <c r="AD111" s="255"/>
      <c r="AE111" s="255"/>
      <c r="AF111" s="255"/>
      <c r="AG111" s="255"/>
      <c r="AH111" s="255"/>
      <c r="AI111" s="255"/>
      <c r="AJ111" s="255"/>
      <c r="AK111" s="255"/>
      <c r="AL111" s="255"/>
      <c r="AM111" s="255"/>
      <c r="AN111" s="255"/>
      <c r="AO111" s="255"/>
      <c r="AP111" s="255"/>
      <c r="AQ111" s="255"/>
      <c r="AR111" s="255"/>
      <c r="AS111" s="256"/>
      <c r="AT111" s="256"/>
      <c r="AU111" s="255"/>
      <c r="AV111" s="255"/>
      <c r="AW111" s="255"/>
      <c r="AX111" s="120"/>
      <c r="AY111" s="255"/>
      <c r="AZ111" s="255"/>
      <c r="BA111" s="255"/>
      <c r="BB111" s="255"/>
      <c r="BC111" s="255"/>
      <c r="BD111" s="255"/>
      <c r="BE111" s="255"/>
      <c r="BF111" s="120"/>
      <c r="BG111" s="120"/>
      <c r="BH111" s="255"/>
      <c r="BI111" s="255"/>
      <c r="BJ111" s="255"/>
      <c r="BK111" s="255"/>
      <c r="BL111" s="255"/>
      <c r="BM111" s="255"/>
      <c r="BN111" s="255"/>
      <c r="BO111" s="255"/>
      <c r="BP111" s="255"/>
      <c r="BQ111" s="255"/>
      <c r="BR111" s="255"/>
      <c r="BS111" s="255"/>
      <c r="BT111" s="255"/>
      <c r="BU111" s="255"/>
      <c r="BV111" s="255"/>
      <c r="BW111" s="255"/>
      <c r="BX111" s="255"/>
      <c r="BY111" s="255"/>
      <c r="BZ111" s="255"/>
      <c r="CA111" s="255"/>
      <c r="CB111" s="255"/>
      <c r="CC111" s="255"/>
      <c r="CD111" s="255"/>
      <c r="CE111" s="255"/>
      <c r="CF111" s="255"/>
      <c r="CG111" s="255"/>
      <c r="CH111" s="255"/>
      <c r="CI111" s="255"/>
      <c r="CJ111" s="255"/>
      <c r="CK111" s="255"/>
      <c r="CL111" s="255"/>
      <c r="CM111" s="255"/>
      <c r="CN111" s="255"/>
      <c r="CO111" s="255"/>
      <c r="CP111" s="255"/>
      <c r="CQ111" s="255"/>
      <c r="CR111" s="255"/>
      <c r="CS111" s="255"/>
      <c r="CT111" s="255"/>
      <c r="CU111" s="255"/>
    </row>
    <row r="112" spans="1:255">
      <c r="A112" s="255"/>
      <c r="B112" s="255"/>
      <c r="C112" s="255"/>
      <c r="D112" s="255"/>
      <c r="E112" s="255"/>
      <c r="F112" s="255"/>
      <c r="G112" s="255"/>
      <c r="H112" s="255"/>
      <c r="I112" s="255"/>
      <c r="J112" s="255"/>
      <c r="K112" s="255"/>
      <c r="L112" s="255"/>
      <c r="M112" s="255"/>
      <c r="N112" s="255"/>
      <c r="O112" s="255"/>
      <c r="P112" s="255"/>
      <c r="Q112" s="255"/>
      <c r="R112" s="255"/>
      <c r="S112" s="256"/>
      <c r="T112" s="255"/>
      <c r="U112" s="255"/>
      <c r="V112" s="257"/>
      <c r="W112" s="257"/>
      <c r="X112" s="255"/>
      <c r="Y112" s="255"/>
      <c r="Z112" s="255"/>
      <c r="AA112" s="255"/>
      <c r="AB112" s="255"/>
      <c r="AC112" s="255"/>
      <c r="AD112" s="255"/>
      <c r="AE112" s="255"/>
      <c r="AF112" s="255"/>
      <c r="AG112" s="255"/>
      <c r="AH112" s="255"/>
      <c r="AI112" s="255"/>
      <c r="AJ112" s="255"/>
      <c r="AK112" s="255"/>
      <c r="AL112" s="255"/>
      <c r="AM112" s="255"/>
      <c r="AN112" s="255"/>
      <c r="AO112" s="255"/>
      <c r="AP112" s="255"/>
      <c r="AQ112" s="255"/>
      <c r="AR112" s="255"/>
      <c r="AS112" s="256"/>
      <c r="AT112" s="256"/>
      <c r="AU112" s="255"/>
      <c r="AV112" s="255"/>
      <c r="AW112" s="255"/>
      <c r="AX112" s="120"/>
      <c r="AY112" s="255"/>
      <c r="AZ112" s="255"/>
      <c r="BA112" s="255"/>
      <c r="BB112" s="255"/>
      <c r="BC112" s="255"/>
      <c r="BD112" s="255"/>
      <c r="BE112" s="255"/>
      <c r="BF112" s="120"/>
      <c r="BG112" s="120"/>
      <c r="BH112" s="255"/>
      <c r="BI112" s="255"/>
      <c r="BJ112" s="255"/>
      <c r="BK112" s="255"/>
      <c r="BL112" s="255"/>
      <c r="BM112" s="255"/>
      <c r="BN112" s="255"/>
      <c r="BO112" s="255"/>
      <c r="BP112" s="255"/>
      <c r="BQ112" s="255"/>
      <c r="BR112" s="255"/>
      <c r="BS112" s="255"/>
      <c r="BT112" s="255"/>
      <c r="BU112" s="255"/>
      <c r="BV112" s="255"/>
      <c r="BW112" s="255"/>
      <c r="BX112" s="255"/>
      <c r="BY112" s="255"/>
      <c r="BZ112" s="255"/>
      <c r="CA112" s="255"/>
      <c r="CB112" s="255"/>
      <c r="CC112" s="255"/>
      <c r="CD112" s="255"/>
      <c r="CE112" s="255"/>
      <c r="CF112" s="255"/>
      <c r="CG112" s="255"/>
      <c r="CH112" s="255"/>
      <c r="CI112" s="255"/>
      <c r="CJ112" s="255"/>
      <c r="CK112" s="255"/>
      <c r="CL112" s="255"/>
      <c r="CM112" s="255"/>
      <c r="CN112" s="255"/>
      <c r="CO112" s="255"/>
      <c r="CP112" s="255"/>
      <c r="CQ112" s="255"/>
      <c r="CR112" s="255"/>
      <c r="CS112" s="255"/>
      <c r="CT112" s="255"/>
      <c r="CU112" s="255"/>
    </row>
    <row r="113" spans="1:255">
      <c r="A113" s="255"/>
      <c r="B113" s="255"/>
      <c r="C113" s="255"/>
      <c r="D113" s="255"/>
      <c r="E113" s="255"/>
      <c r="F113" s="255"/>
      <c r="G113" s="255"/>
      <c r="H113" s="255"/>
      <c r="I113" s="255"/>
      <c r="J113" s="255"/>
      <c r="K113" s="255"/>
      <c r="L113" s="255"/>
      <c r="M113" s="255"/>
      <c r="N113" s="255"/>
      <c r="O113" s="255"/>
      <c r="P113" s="255"/>
      <c r="Q113" s="255"/>
      <c r="R113" s="255"/>
      <c r="S113" s="256"/>
      <c r="T113" s="255"/>
      <c r="U113" s="255"/>
      <c r="V113" s="257"/>
      <c r="W113" s="257"/>
      <c r="X113" s="255"/>
      <c r="Y113" s="255"/>
      <c r="Z113" s="255"/>
      <c r="AA113" s="255"/>
      <c r="AB113" s="255"/>
      <c r="AC113" s="255"/>
      <c r="AD113" s="255"/>
      <c r="AE113" s="255"/>
      <c r="AF113" s="255"/>
      <c r="AG113" s="255"/>
      <c r="AH113" s="255"/>
      <c r="AI113" s="255"/>
      <c r="AJ113" s="255"/>
      <c r="AK113" s="255"/>
      <c r="AL113" s="255"/>
      <c r="AM113" s="255"/>
      <c r="AN113" s="255"/>
      <c r="AO113" s="255"/>
      <c r="AP113" s="255"/>
      <c r="AQ113" s="255"/>
      <c r="AR113" s="255"/>
      <c r="AS113" s="256"/>
      <c r="AT113" s="256"/>
      <c r="AU113" s="255"/>
      <c r="AV113" s="255"/>
      <c r="AW113" s="255"/>
      <c r="AX113" s="120"/>
      <c r="AY113" s="255"/>
      <c r="AZ113" s="255"/>
      <c r="BA113" s="255"/>
      <c r="BB113" s="255"/>
      <c r="BC113" s="255"/>
      <c r="BD113" s="255"/>
      <c r="BE113" s="255"/>
      <c r="BF113" s="120"/>
      <c r="BG113" s="120"/>
      <c r="BH113" s="255"/>
      <c r="BI113" s="255"/>
      <c r="BJ113" s="255"/>
      <c r="BK113" s="255"/>
      <c r="BL113" s="255"/>
      <c r="BM113" s="255"/>
      <c r="BN113" s="255"/>
      <c r="BO113" s="255"/>
      <c r="BP113" s="255"/>
      <c r="BQ113" s="255"/>
      <c r="BR113" s="255"/>
      <c r="BS113" s="255"/>
      <c r="BT113" s="255"/>
      <c r="BU113" s="255"/>
      <c r="BV113" s="255"/>
      <c r="BW113" s="255"/>
      <c r="BX113" s="255"/>
      <c r="BY113" s="255"/>
      <c r="BZ113" s="255"/>
      <c r="CA113" s="255"/>
      <c r="CB113" s="255"/>
      <c r="CC113" s="255"/>
      <c r="CD113" s="255"/>
      <c r="CE113" s="255"/>
      <c r="CF113" s="255"/>
      <c r="CG113" s="255"/>
      <c r="CH113" s="255"/>
      <c r="CI113" s="255"/>
      <c r="CJ113" s="255"/>
      <c r="CK113" s="255"/>
      <c r="CL113" s="255"/>
      <c r="CM113" s="255"/>
      <c r="CN113" s="255"/>
      <c r="CO113" s="255"/>
      <c r="CP113" s="255"/>
      <c r="CQ113" s="255"/>
      <c r="CR113" s="255"/>
      <c r="CS113" s="255"/>
      <c r="CT113" s="255"/>
      <c r="CU113" s="255"/>
    </row>
    <row r="114" spans="1:255">
      <c r="A114" s="255"/>
      <c r="B114" s="255"/>
      <c r="C114" s="255"/>
      <c r="D114" s="255"/>
      <c r="E114" s="255"/>
      <c r="F114" s="255"/>
      <c r="G114" s="255"/>
      <c r="H114" s="255"/>
      <c r="I114" s="255"/>
      <c r="J114" s="255"/>
      <c r="K114" s="255"/>
      <c r="L114" s="255"/>
      <c r="M114" s="255"/>
      <c r="N114" s="255"/>
      <c r="O114" s="255"/>
      <c r="P114" s="255"/>
      <c r="Q114" s="255"/>
      <c r="R114" s="255"/>
      <c r="S114" s="256"/>
      <c r="T114" s="255"/>
      <c r="U114" s="255"/>
      <c r="V114" s="257"/>
      <c r="W114" s="257"/>
      <c r="X114" s="255"/>
      <c r="Y114" s="255"/>
      <c r="Z114" s="255"/>
      <c r="AA114" s="255"/>
      <c r="AB114" s="255"/>
      <c r="AC114" s="255"/>
      <c r="AD114" s="255"/>
      <c r="AE114" s="255"/>
      <c r="AF114" s="255"/>
      <c r="AG114" s="255"/>
      <c r="AH114" s="255"/>
      <c r="AI114" s="255"/>
      <c r="AJ114" s="255"/>
      <c r="AK114" s="255"/>
      <c r="AL114" s="255"/>
      <c r="AM114" s="255"/>
      <c r="AN114" s="255"/>
      <c r="AO114" s="255"/>
      <c r="AP114" s="255"/>
      <c r="AQ114" s="255"/>
      <c r="AR114" s="255"/>
      <c r="AS114" s="256"/>
      <c r="AT114" s="256"/>
      <c r="AU114" s="255"/>
      <c r="AV114" s="255"/>
      <c r="AW114" s="255"/>
      <c r="AX114" s="120"/>
      <c r="AY114" s="255"/>
      <c r="AZ114" s="255"/>
      <c r="BA114" s="255"/>
      <c r="BB114" s="255"/>
      <c r="BC114" s="255"/>
      <c r="BD114" s="255"/>
      <c r="BE114" s="255"/>
      <c r="BF114" s="120"/>
      <c r="BG114" s="120"/>
      <c r="BH114" s="255"/>
      <c r="BI114" s="255"/>
      <c r="BJ114" s="255"/>
      <c r="BK114" s="255"/>
      <c r="BL114" s="255"/>
      <c r="BM114" s="255"/>
      <c r="BN114" s="255"/>
      <c r="BO114" s="255"/>
      <c r="BP114" s="255"/>
      <c r="BQ114" s="255"/>
      <c r="BR114" s="255"/>
      <c r="BS114" s="255"/>
      <c r="BT114" s="255"/>
      <c r="BU114" s="255"/>
      <c r="BV114" s="255"/>
      <c r="BW114" s="255"/>
      <c r="BX114" s="255"/>
      <c r="BY114" s="255"/>
      <c r="BZ114" s="255"/>
      <c r="CA114" s="255"/>
      <c r="CB114" s="255"/>
      <c r="CC114" s="255"/>
      <c r="CD114" s="255"/>
      <c r="CE114" s="255"/>
      <c r="CF114" s="255"/>
      <c r="CG114" s="255"/>
      <c r="CH114" s="255"/>
      <c r="CI114" s="255"/>
      <c r="CJ114" s="255"/>
      <c r="CK114" s="255"/>
      <c r="CL114" s="255"/>
      <c r="CM114" s="255"/>
      <c r="CN114" s="255"/>
      <c r="CO114" s="255"/>
      <c r="CP114" s="255"/>
      <c r="CQ114" s="255"/>
      <c r="CR114" s="255"/>
      <c r="CS114" s="255"/>
      <c r="CT114" s="255"/>
      <c r="CU114" s="255"/>
    </row>
    <row r="115" spans="1:255">
      <c r="A115" s="255"/>
      <c r="B115" s="255"/>
      <c r="C115" s="255"/>
      <c r="D115" s="255"/>
      <c r="E115" s="255"/>
      <c r="F115" s="255"/>
      <c r="G115" s="255"/>
      <c r="H115" s="255"/>
      <c r="I115" s="255"/>
      <c r="J115" s="255"/>
      <c r="K115" s="255"/>
      <c r="L115" s="255"/>
      <c r="M115" s="255"/>
      <c r="N115" s="255"/>
      <c r="O115" s="255"/>
      <c r="P115" s="255"/>
      <c r="Q115" s="255"/>
      <c r="R115" s="255"/>
      <c r="S115" s="256"/>
      <c r="T115" s="255"/>
      <c r="U115" s="255"/>
      <c r="V115" s="257"/>
      <c r="W115" s="257"/>
      <c r="X115" s="255"/>
      <c r="Y115" s="255"/>
      <c r="Z115" s="255"/>
      <c r="AA115" s="255"/>
      <c r="AB115" s="255"/>
      <c r="AC115" s="255"/>
      <c r="AD115" s="255"/>
      <c r="AE115" s="255"/>
      <c r="AF115" s="255"/>
      <c r="AG115" s="255"/>
      <c r="AH115" s="255"/>
      <c r="AI115" s="255"/>
      <c r="AJ115" s="255"/>
      <c r="AK115" s="255"/>
      <c r="AL115" s="255"/>
      <c r="AM115" s="255"/>
      <c r="AN115" s="255"/>
      <c r="AO115" s="255"/>
      <c r="AP115" s="255"/>
      <c r="AQ115" s="255"/>
      <c r="AR115" s="255"/>
      <c r="AS115" s="256"/>
      <c r="AT115" s="256"/>
      <c r="AU115" s="255"/>
      <c r="AV115" s="255"/>
      <c r="AW115" s="255"/>
      <c r="AX115" s="120"/>
      <c r="AY115" s="255"/>
      <c r="AZ115" s="255"/>
      <c r="BA115" s="255"/>
      <c r="BB115" s="255"/>
      <c r="BC115" s="255"/>
      <c r="BD115" s="255"/>
      <c r="BE115" s="255"/>
      <c r="BF115" s="120"/>
      <c r="BG115" s="120"/>
      <c r="BH115" s="255"/>
      <c r="BI115" s="255"/>
      <c r="BJ115" s="255"/>
      <c r="BK115" s="255"/>
      <c r="BL115" s="255"/>
      <c r="BM115" s="255"/>
      <c r="BN115" s="255"/>
      <c r="BO115" s="255"/>
      <c r="BP115" s="255"/>
      <c r="BQ115" s="255"/>
      <c r="BR115" s="255"/>
      <c r="BS115" s="255"/>
      <c r="BT115" s="255"/>
      <c r="BU115" s="255"/>
      <c r="BV115" s="255"/>
      <c r="BW115" s="255"/>
      <c r="BX115" s="255"/>
      <c r="BY115" s="255"/>
      <c r="BZ115" s="255"/>
      <c r="CA115" s="255"/>
      <c r="CB115" s="255"/>
      <c r="CC115" s="255"/>
      <c r="CD115" s="255"/>
      <c r="CE115" s="255"/>
      <c r="CF115" s="255"/>
      <c r="CG115" s="255"/>
      <c r="CH115" s="255"/>
      <c r="CI115" s="255"/>
      <c r="CJ115" s="255"/>
      <c r="CK115" s="255"/>
      <c r="CL115" s="255"/>
      <c r="CM115" s="255"/>
      <c r="CN115" s="255"/>
      <c r="CO115" s="255"/>
      <c r="CP115" s="255"/>
      <c r="CQ115" s="255"/>
      <c r="CR115" s="255"/>
      <c r="CS115" s="255"/>
      <c r="CT115" s="255"/>
      <c r="CU115" s="255"/>
    </row>
    <row r="116" spans="1:255">
      <c r="A116" s="255"/>
      <c r="B116" s="255"/>
      <c r="C116" s="255"/>
      <c r="D116" s="255"/>
      <c r="E116" s="255"/>
      <c r="F116" s="255"/>
      <c r="G116" s="255"/>
      <c r="H116" s="255"/>
      <c r="I116" s="255"/>
      <c r="J116" s="255"/>
      <c r="K116" s="255"/>
      <c r="L116" s="255"/>
      <c r="M116" s="255"/>
      <c r="N116" s="255"/>
      <c r="O116" s="255"/>
      <c r="P116" s="255"/>
      <c r="Q116" s="255"/>
      <c r="R116" s="255"/>
      <c r="S116" s="256"/>
      <c r="T116" s="255"/>
      <c r="U116" s="255"/>
      <c r="V116" s="257"/>
      <c r="W116" s="257"/>
      <c r="X116" s="255"/>
      <c r="Y116" s="255"/>
      <c r="Z116" s="255"/>
      <c r="AA116" s="255"/>
      <c r="AB116" s="255"/>
      <c r="AC116" s="255"/>
      <c r="AD116" s="255"/>
      <c r="AE116" s="255"/>
      <c r="AF116" s="255"/>
      <c r="AG116" s="255"/>
      <c r="AH116" s="255"/>
      <c r="AI116" s="255"/>
      <c r="AJ116" s="255"/>
      <c r="AK116" s="255"/>
      <c r="AL116" s="255"/>
      <c r="AM116" s="255"/>
      <c r="AN116" s="255"/>
      <c r="AO116" s="255"/>
      <c r="AP116" s="255"/>
      <c r="AQ116" s="255"/>
      <c r="AR116" s="255"/>
      <c r="AS116" s="256"/>
      <c r="AT116" s="256"/>
      <c r="AU116" s="255"/>
      <c r="AV116" s="255"/>
      <c r="AW116" s="255"/>
      <c r="AX116" s="120"/>
      <c r="AY116" s="255"/>
      <c r="AZ116" s="255"/>
      <c r="BA116" s="255"/>
      <c r="BB116" s="255"/>
      <c r="BC116" s="255"/>
      <c r="BD116" s="255"/>
      <c r="BE116" s="255"/>
      <c r="BF116" s="120"/>
      <c r="BG116" s="120"/>
      <c r="BH116" s="255"/>
      <c r="BI116" s="255"/>
      <c r="BJ116" s="255"/>
      <c r="BK116" s="255"/>
      <c r="BL116" s="255"/>
      <c r="BM116" s="255"/>
      <c r="BN116" s="255"/>
      <c r="BO116" s="255"/>
      <c r="BP116" s="255"/>
      <c r="BQ116" s="255"/>
      <c r="BR116" s="255"/>
      <c r="BS116" s="255"/>
      <c r="BT116" s="255"/>
      <c r="BU116" s="255"/>
      <c r="BV116" s="255"/>
      <c r="BW116" s="255"/>
      <c r="BX116" s="255"/>
      <c r="BY116" s="255"/>
      <c r="BZ116" s="255"/>
      <c r="CA116" s="255"/>
      <c r="CB116" s="255"/>
      <c r="CC116" s="255"/>
      <c r="CD116" s="255"/>
      <c r="CE116" s="255"/>
      <c r="CF116" s="255"/>
      <c r="CG116" s="255"/>
      <c r="CH116" s="255"/>
      <c r="CI116" s="255"/>
      <c r="CJ116" s="255"/>
      <c r="CK116" s="255"/>
      <c r="CL116" s="255"/>
      <c r="CM116" s="255"/>
      <c r="CN116" s="255"/>
      <c r="CO116" s="255"/>
      <c r="CP116" s="255"/>
      <c r="CQ116" s="255"/>
      <c r="CR116" s="255"/>
      <c r="CS116" s="255"/>
      <c r="CT116" s="255"/>
      <c r="CU116" s="255"/>
    </row>
    <row r="117" spans="1:255">
      <c r="A117" s="255"/>
      <c r="B117" s="255"/>
      <c r="C117" s="255"/>
      <c r="D117" s="255"/>
      <c r="E117" s="255"/>
      <c r="F117" s="255"/>
      <c r="G117" s="255"/>
      <c r="H117" s="255"/>
      <c r="I117" s="255"/>
      <c r="J117" s="255"/>
      <c r="K117" s="255"/>
      <c r="L117" s="255"/>
      <c r="M117" s="255"/>
      <c r="N117" s="255"/>
      <c r="O117" s="255"/>
      <c r="P117" s="255"/>
      <c r="Q117" s="255"/>
      <c r="R117" s="255"/>
      <c r="S117" s="256"/>
      <c r="T117" s="255"/>
      <c r="U117" s="255"/>
      <c r="V117" s="257"/>
      <c r="W117" s="257"/>
      <c r="X117" s="255"/>
      <c r="Y117" s="255"/>
      <c r="Z117" s="255"/>
      <c r="AA117" s="255"/>
      <c r="AB117" s="255"/>
      <c r="AC117" s="255"/>
      <c r="AD117" s="255"/>
      <c r="AE117" s="255"/>
      <c r="AF117" s="255"/>
      <c r="AG117" s="255"/>
      <c r="AH117" s="255"/>
      <c r="AI117" s="255"/>
      <c r="AJ117" s="255"/>
      <c r="AK117" s="255"/>
      <c r="AL117" s="255"/>
      <c r="AM117" s="255"/>
      <c r="AN117" s="255"/>
      <c r="AO117" s="255"/>
      <c r="AP117" s="255"/>
      <c r="AQ117" s="255"/>
      <c r="AR117" s="255"/>
      <c r="AS117" s="256"/>
      <c r="AT117" s="256"/>
      <c r="AU117" s="255"/>
      <c r="AV117" s="255"/>
      <c r="AW117" s="255"/>
      <c r="AX117" s="120"/>
      <c r="AY117" s="255"/>
      <c r="AZ117" s="255"/>
      <c r="BA117" s="255"/>
      <c r="BB117" s="255"/>
      <c r="BC117" s="255"/>
      <c r="BD117" s="255"/>
      <c r="BE117" s="255"/>
      <c r="BF117" s="120"/>
      <c r="BG117" s="120"/>
      <c r="BH117" s="255"/>
      <c r="BI117" s="255"/>
      <c r="BJ117" s="255"/>
      <c r="BK117" s="255"/>
      <c r="BL117" s="255"/>
      <c r="BM117" s="255"/>
      <c r="BN117" s="255"/>
      <c r="BO117" s="255"/>
      <c r="BP117" s="255"/>
      <c r="BQ117" s="255"/>
      <c r="BR117" s="255"/>
      <c r="BS117" s="255"/>
      <c r="BT117" s="255"/>
      <c r="BU117" s="255"/>
      <c r="BV117" s="255"/>
      <c r="BW117" s="255"/>
      <c r="BX117" s="255"/>
      <c r="BY117" s="255"/>
      <c r="BZ117" s="255"/>
      <c r="CA117" s="255"/>
      <c r="CB117" s="255"/>
      <c r="CC117" s="255"/>
      <c r="CD117" s="255"/>
      <c r="CE117" s="255"/>
      <c r="CF117" s="255"/>
      <c r="CG117" s="255"/>
      <c r="CH117" s="255"/>
      <c r="CI117" s="255"/>
      <c r="CJ117" s="255"/>
      <c r="CK117" s="255"/>
      <c r="CL117" s="255"/>
      <c r="CM117" s="255"/>
      <c r="CN117" s="255"/>
      <c r="CO117" s="255"/>
      <c r="CP117" s="255"/>
      <c r="CQ117" s="255"/>
      <c r="CR117" s="255"/>
      <c r="CS117" s="255"/>
      <c r="CT117" s="255"/>
      <c r="CU117" s="255"/>
    </row>
    <row r="118" spans="1:255">
      <c r="A118" s="255"/>
      <c r="B118" s="255"/>
      <c r="C118" s="255"/>
      <c r="D118" s="255"/>
      <c r="E118" s="255"/>
      <c r="F118" s="255"/>
      <c r="G118" s="255"/>
      <c r="H118" s="255"/>
      <c r="I118" s="255"/>
      <c r="J118" s="255"/>
      <c r="K118" s="255"/>
      <c r="L118" s="255"/>
      <c r="M118" s="255"/>
      <c r="N118" s="255"/>
      <c r="O118" s="255"/>
      <c r="P118" s="255"/>
      <c r="Q118" s="255"/>
      <c r="R118" s="255"/>
      <c r="S118" s="256"/>
      <c r="T118" s="255"/>
      <c r="U118" s="255"/>
      <c r="V118" s="257"/>
      <c r="W118" s="257"/>
      <c r="X118" s="255"/>
      <c r="Y118" s="255"/>
      <c r="Z118" s="255"/>
      <c r="AA118" s="255"/>
      <c r="AB118" s="255"/>
      <c r="AC118" s="255"/>
      <c r="AD118" s="255"/>
      <c r="AE118" s="255"/>
      <c r="AF118" s="255"/>
      <c r="AG118" s="255"/>
      <c r="AH118" s="255"/>
      <c r="AI118" s="255"/>
      <c r="AJ118" s="255"/>
      <c r="AK118" s="255"/>
      <c r="AL118" s="255"/>
      <c r="AM118" s="255"/>
      <c r="AN118" s="255"/>
      <c r="AO118" s="255"/>
      <c r="AP118" s="255"/>
      <c r="AQ118" s="255"/>
      <c r="AR118" s="255"/>
      <c r="AS118" s="256"/>
      <c r="AT118" s="256"/>
      <c r="AU118" s="255"/>
      <c r="AV118" s="255"/>
      <c r="AW118" s="255"/>
      <c r="AX118" s="120"/>
      <c r="AY118" s="255"/>
      <c r="AZ118" s="255"/>
      <c r="BA118" s="255"/>
      <c r="BB118" s="255"/>
      <c r="BC118" s="255"/>
      <c r="BD118" s="255"/>
      <c r="BE118" s="255"/>
      <c r="BF118" s="120"/>
      <c r="BG118" s="120"/>
      <c r="BH118" s="255"/>
      <c r="BI118" s="255"/>
      <c r="BJ118" s="255"/>
      <c r="BK118" s="255"/>
      <c r="BL118" s="255"/>
      <c r="BM118" s="255"/>
      <c r="BN118" s="255"/>
      <c r="BO118" s="255"/>
      <c r="BP118" s="255"/>
      <c r="BQ118" s="255"/>
      <c r="BR118" s="255"/>
      <c r="BS118" s="255"/>
      <c r="BT118" s="255"/>
      <c r="BU118" s="255"/>
      <c r="BV118" s="255"/>
      <c r="BW118" s="255"/>
      <c r="BX118" s="255"/>
      <c r="BY118" s="255"/>
      <c r="BZ118" s="255"/>
      <c r="CA118" s="255"/>
      <c r="CB118" s="255"/>
      <c r="CC118" s="255"/>
      <c r="CD118" s="255"/>
      <c r="CE118" s="255"/>
      <c r="CF118" s="255"/>
      <c r="CG118" s="255"/>
      <c r="CH118" s="255"/>
      <c r="CI118" s="255"/>
      <c r="CJ118" s="255"/>
      <c r="CK118" s="255"/>
      <c r="CL118" s="255"/>
      <c r="CM118" s="255"/>
      <c r="CN118" s="255"/>
      <c r="CO118" s="255"/>
      <c r="CP118" s="255"/>
      <c r="CQ118" s="255"/>
      <c r="CR118" s="255"/>
      <c r="CS118" s="255"/>
      <c r="CT118" s="255"/>
      <c r="CU118" s="255"/>
    </row>
    <row r="119" spans="1:255">
      <c r="A119" s="255"/>
      <c r="B119" s="255"/>
      <c r="C119" s="255"/>
      <c r="D119" s="255"/>
      <c r="E119" s="255"/>
      <c r="F119" s="255"/>
      <c r="G119" s="255"/>
      <c r="H119" s="255"/>
      <c r="I119" s="255"/>
      <c r="J119" s="255"/>
      <c r="K119" s="255"/>
      <c r="L119" s="255"/>
      <c r="M119" s="255"/>
      <c r="N119" s="255"/>
      <c r="O119" s="255"/>
      <c r="P119" s="255"/>
      <c r="Q119" s="255"/>
      <c r="R119" s="255"/>
      <c r="S119" s="256"/>
      <c r="T119" s="255"/>
      <c r="U119" s="255"/>
      <c r="V119" s="257"/>
      <c r="W119" s="257"/>
      <c r="X119" s="255"/>
      <c r="Y119" s="255"/>
      <c r="Z119" s="255"/>
      <c r="AA119" s="255"/>
      <c r="AB119" s="255"/>
      <c r="AC119" s="255"/>
      <c r="AD119" s="255"/>
      <c r="AE119" s="255"/>
      <c r="AF119" s="255"/>
      <c r="AG119" s="255"/>
      <c r="AH119" s="255"/>
      <c r="AI119" s="255"/>
      <c r="AJ119" s="255"/>
      <c r="AK119" s="255"/>
      <c r="AL119" s="255"/>
      <c r="AM119" s="255"/>
      <c r="AN119" s="255"/>
      <c r="AO119" s="255"/>
      <c r="AP119" s="255"/>
      <c r="AQ119" s="255"/>
      <c r="AR119" s="255"/>
      <c r="AS119" s="256"/>
      <c r="AT119" s="256"/>
      <c r="AU119" s="255"/>
      <c r="AV119" s="255"/>
      <c r="AW119" s="255"/>
      <c r="AX119" s="120"/>
      <c r="AY119" s="255"/>
      <c r="AZ119" s="255"/>
      <c r="BA119" s="255"/>
      <c r="BB119" s="255"/>
      <c r="BC119" s="255"/>
      <c r="BD119" s="255"/>
      <c r="BE119" s="255"/>
      <c r="BF119" s="120"/>
      <c r="BG119" s="120"/>
      <c r="BH119" s="255"/>
      <c r="BI119" s="255"/>
      <c r="BJ119" s="255"/>
      <c r="BK119" s="255"/>
      <c r="BL119" s="255"/>
      <c r="BM119" s="255"/>
      <c r="BN119" s="255"/>
      <c r="BO119" s="255"/>
      <c r="BP119" s="255"/>
      <c r="BQ119" s="255"/>
      <c r="BR119" s="255"/>
      <c r="BS119" s="255"/>
      <c r="BT119" s="255"/>
      <c r="BU119" s="255"/>
      <c r="BV119" s="255"/>
      <c r="BW119" s="255"/>
      <c r="BX119" s="255"/>
      <c r="BY119" s="255"/>
      <c r="BZ119" s="255"/>
      <c r="CA119" s="255"/>
      <c r="CB119" s="255"/>
      <c r="CC119" s="255"/>
      <c r="CD119" s="255"/>
      <c r="CE119" s="255"/>
      <c r="CF119" s="255"/>
      <c r="CG119" s="255"/>
      <c r="CH119" s="255"/>
      <c r="CI119" s="255"/>
      <c r="CJ119" s="255"/>
      <c r="CK119" s="255"/>
      <c r="CL119" s="255"/>
      <c r="CM119" s="255"/>
      <c r="CN119" s="255"/>
      <c r="CO119" s="255"/>
      <c r="CP119" s="255"/>
      <c r="CQ119" s="255"/>
      <c r="CR119" s="255"/>
      <c r="CS119" s="255"/>
      <c r="CT119" s="255"/>
      <c r="CU119" s="255"/>
    </row>
    <row r="120" spans="1:255">
      <c r="A120" s="255"/>
      <c r="B120" s="255"/>
      <c r="C120" s="255"/>
      <c r="D120" s="255"/>
      <c r="E120" s="255"/>
      <c r="F120" s="255"/>
      <c r="G120" s="255"/>
      <c r="H120" s="255"/>
      <c r="I120" s="255"/>
      <c r="J120" s="255"/>
      <c r="K120" s="255"/>
      <c r="L120" s="255"/>
      <c r="M120" s="255"/>
      <c r="N120" s="255"/>
      <c r="O120" s="255"/>
      <c r="P120" s="255"/>
      <c r="Q120" s="255"/>
      <c r="R120" s="255"/>
      <c r="S120" s="256"/>
      <c r="T120" s="255"/>
      <c r="U120" s="255"/>
      <c r="V120" s="257"/>
      <c r="W120" s="257"/>
      <c r="X120" s="255"/>
      <c r="Y120" s="255"/>
      <c r="Z120" s="255"/>
      <c r="AA120" s="255"/>
      <c r="AB120" s="255"/>
      <c r="AC120" s="255"/>
      <c r="AD120" s="255"/>
      <c r="AE120" s="255"/>
      <c r="AF120" s="255"/>
      <c r="AG120" s="255"/>
      <c r="AH120" s="255"/>
      <c r="AI120" s="255"/>
      <c r="AJ120" s="255"/>
      <c r="AK120" s="255"/>
      <c r="AL120" s="255"/>
      <c r="AM120" s="255"/>
      <c r="AN120" s="255"/>
      <c r="AO120" s="255"/>
      <c r="AP120" s="255"/>
      <c r="AQ120" s="255"/>
      <c r="AR120" s="255"/>
      <c r="AS120" s="256"/>
      <c r="AT120" s="256"/>
      <c r="AU120" s="255"/>
      <c r="AV120" s="255"/>
      <c r="AW120" s="255"/>
      <c r="AX120" s="120"/>
      <c r="AY120" s="255"/>
      <c r="AZ120" s="255"/>
      <c r="BA120" s="255"/>
      <c r="BB120" s="255"/>
      <c r="BC120" s="255"/>
      <c r="BD120" s="255"/>
      <c r="BE120" s="255"/>
      <c r="BF120" s="120"/>
      <c r="BG120" s="120"/>
      <c r="BH120" s="255"/>
      <c r="BI120" s="255"/>
      <c r="BJ120" s="255"/>
      <c r="BK120" s="255"/>
      <c r="BL120" s="255"/>
      <c r="BM120" s="255"/>
      <c r="BN120" s="255"/>
      <c r="BO120" s="255"/>
      <c r="BP120" s="255"/>
      <c r="BQ120" s="255"/>
      <c r="BR120" s="255"/>
      <c r="BS120" s="255"/>
      <c r="BT120" s="255"/>
      <c r="BU120" s="255"/>
      <c r="BV120" s="255"/>
      <c r="BW120" s="255"/>
      <c r="BX120" s="255"/>
      <c r="BY120" s="255"/>
      <c r="BZ120" s="255"/>
      <c r="CA120" s="255"/>
      <c r="CB120" s="255"/>
      <c r="CC120" s="255"/>
      <c r="CD120" s="255"/>
      <c r="CE120" s="255"/>
      <c r="CF120" s="255"/>
      <c r="CG120" s="255"/>
      <c r="CH120" s="255"/>
      <c r="CI120" s="255"/>
      <c r="CJ120" s="255"/>
      <c r="CK120" s="255"/>
      <c r="CL120" s="255"/>
      <c r="CM120" s="255"/>
      <c r="CN120" s="255"/>
      <c r="CO120" s="255"/>
      <c r="CP120" s="255"/>
      <c r="CQ120" s="255"/>
      <c r="CR120" s="255"/>
      <c r="CS120" s="255"/>
      <c r="CT120" s="255"/>
      <c r="CU120" s="255"/>
    </row>
    <row r="121" spans="1:255">
      <c r="A121" s="255"/>
      <c r="B121" s="255"/>
      <c r="C121" s="255"/>
      <c r="D121" s="255"/>
      <c r="E121" s="255"/>
      <c r="F121" s="255"/>
      <c r="G121" s="255"/>
      <c r="H121" s="255"/>
      <c r="I121" s="255"/>
      <c r="J121" s="255"/>
      <c r="K121" s="255"/>
      <c r="L121" s="255"/>
      <c r="M121" s="255"/>
      <c r="N121" s="255"/>
      <c r="O121" s="255"/>
      <c r="P121" s="255"/>
      <c r="Q121" s="255"/>
      <c r="R121" s="255"/>
      <c r="S121" s="256"/>
      <c r="T121" s="255"/>
      <c r="U121" s="255"/>
      <c r="V121" s="257"/>
      <c r="W121" s="257"/>
      <c r="X121" s="255"/>
      <c r="Y121" s="255"/>
      <c r="Z121" s="255"/>
      <c r="AA121" s="255"/>
      <c r="AB121" s="255"/>
      <c r="AC121" s="255"/>
      <c r="AD121" s="255"/>
      <c r="AE121" s="255"/>
      <c r="AF121" s="255"/>
      <c r="AG121" s="255"/>
      <c r="AH121" s="255"/>
      <c r="AI121" s="255"/>
      <c r="AJ121" s="255"/>
      <c r="AK121" s="255"/>
      <c r="AL121" s="255"/>
      <c r="AM121" s="255"/>
      <c r="AN121" s="255"/>
      <c r="AO121" s="255"/>
      <c r="AP121" s="255"/>
      <c r="AQ121" s="255"/>
      <c r="AR121" s="255"/>
      <c r="AS121" s="256"/>
      <c r="AT121" s="256"/>
      <c r="AU121" s="255"/>
      <c r="AV121" s="255"/>
      <c r="AW121" s="255"/>
      <c r="AX121" s="120"/>
      <c r="AY121" s="255"/>
      <c r="AZ121" s="255"/>
      <c r="BA121" s="255"/>
      <c r="BB121" s="255"/>
      <c r="BC121" s="255"/>
      <c r="BD121" s="255"/>
      <c r="BE121" s="255"/>
      <c r="BF121" s="120"/>
      <c r="BG121" s="120"/>
      <c r="BH121" s="255"/>
      <c r="BI121" s="255"/>
      <c r="BJ121" s="255"/>
      <c r="BK121" s="255"/>
      <c r="BL121" s="255"/>
      <c r="BM121" s="255"/>
      <c r="BN121" s="255"/>
      <c r="BO121" s="255"/>
      <c r="BP121" s="255"/>
      <c r="BQ121" s="255"/>
      <c r="BR121" s="255"/>
      <c r="BS121" s="255"/>
      <c r="BT121" s="255"/>
      <c r="BU121" s="255"/>
      <c r="BV121" s="255"/>
      <c r="BW121" s="255"/>
      <c r="BX121" s="255"/>
      <c r="BY121" s="255"/>
      <c r="BZ121" s="255"/>
      <c r="CA121" s="255"/>
      <c r="CB121" s="255"/>
      <c r="CC121" s="255"/>
      <c r="CD121" s="255"/>
      <c r="CE121" s="255"/>
      <c r="CF121" s="255"/>
      <c r="CG121" s="255"/>
      <c r="CH121" s="255"/>
      <c r="CI121" s="255"/>
      <c r="CJ121" s="255"/>
      <c r="CK121" s="255"/>
      <c r="CL121" s="255"/>
      <c r="CM121" s="255"/>
      <c r="CN121" s="255"/>
      <c r="CO121" s="255"/>
      <c r="CP121" s="255"/>
      <c r="CQ121" s="255"/>
      <c r="CR121" s="255"/>
      <c r="CS121" s="255"/>
      <c r="CT121" s="255"/>
      <c r="CU121" s="255"/>
    </row>
    <row r="122" spans="1:255">
      <c r="A122" s="255"/>
      <c r="B122" s="255"/>
      <c r="C122" s="255"/>
      <c r="D122" s="255"/>
      <c r="E122" s="255"/>
      <c r="F122" s="255"/>
      <c r="G122" s="255"/>
      <c r="H122" s="255"/>
      <c r="I122" s="255"/>
      <c r="J122" s="255"/>
      <c r="K122" s="255"/>
      <c r="L122" s="255"/>
      <c r="M122" s="255"/>
      <c r="N122" s="255"/>
      <c r="O122" s="255"/>
      <c r="P122" s="255"/>
      <c r="Q122" s="255"/>
      <c r="R122" s="255"/>
      <c r="S122" s="256"/>
      <c r="T122" s="255"/>
      <c r="U122" s="255"/>
      <c r="V122" s="257"/>
      <c r="W122" s="257"/>
      <c r="X122" s="255"/>
      <c r="Y122" s="255"/>
      <c r="Z122" s="255"/>
      <c r="AA122" s="255"/>
      <c r="AB122" s="255"/>
      <c r="AC122" s="255"/>
      <c r="AD122" s="255"/>
      <c r="AE122" s="255"/>
      <c r="AF122" s="255"/>
      <c r="AG122" s="255"/>
      <c r="AH122" s="255"/>
      <c r="AI122" s="255"/>
      <c r="AJ122" s="255"/>
      <c r="AK122" s="255"/>
      <c r="AL122" s="255"/>
      <c r="AM122" s="255"/>
      <c r="AN122" s="255"/>
      <c r="AO122" s="255"/>
      <c r="AP122" s="255"/>
      <c r="AQ122" s="255"/>
      <c r="AR122" s="255"/>
      <c r="AS122" s="256"/>
      <c r="AT122" s="256"/>
      <c r="AU122" s="255"/>
      <c r="AV122" s="255"/>
      <c r="AW122" s="255"/>
      <c r="AX122" s="120"/>
      <c r="AY122" s="255"/>
      <c r="AZ122" s="255"/>
      <c r="BA122" s="255"/>
      <c r="BB122" s="255"/>
      <c r="BC122" s="255"/>
      <c r="BD122" s="255"/>
      <c r="BE122" s="255"/>
      <c r="BF122" s="120"/>
      <c r="BG122" s="120"/>
      <c r="BH122" s="255"/>
      <c r="BI122" s="255"/>
      <c r="BJ122" s="255"/>
      <c r="BK122" s="255"/>
      <c r="BL122" s="255"/>
      <c r="BM122" s="255"/>
      <c r="BN122" s="255"/>
      <c r="BO122" s="255"/>
      <c r="BP122" s="255"/>
      <c r="BQ122" s="255"/>
      <c r="BR122" s="255"/>
      <c r="BS122" s="255"/>
      <c r="BT122" s="255"/>
      <c r="BU122" s="255"/>
      <c r="BV122" s="255"/>
      <c r="BW122" s="255"/>
      <c r="BX122" s="255"/>
      <c r="BY122" s="255"/>
      <c r="BZ122" s="255"/>
      <c r="CA122" s="255"/>
      <c r="CB122" s="255"/>
      <c r="CC122" s="255"/>
      <c r="CD122" s="255"/>
      <c r="CE122" s="255"/>
      <c r="CF122" s="255"/>
      <c r="CG122" s="255"/>
      <c r="CH122" s="255"/>
      <c r="CI122" s="255"/>
      <c r="CJ122" s="255"/>
      <c r="CK122" s="255"/>
      <c r="CL122" s="255"/>
      <c r="CM122" s="255"/>
      <c r="CN122" s="255"/>
      <c r="CO122" s="255"/>
      <c r="CP122" s="255"/>
      <c r="CQ122" s="255"/>
      <c r="CR122" s="255"/>
      <c r="CS122" s="255"/>
      <c r="CT122" s="255"/>
      <c r="CU122" s="255"/>
    </row>
    <row r="123" spans="1:255">
      <c r="A123" s="255"/>
      <c r="B123" s="255"/>
      <c r="C123" s="255"/>
      <c r="D123" s="255"/>
      <c r="E123" s="255"/>
      <c r="F123" s="255"/>
      <c r="G123" s="255"/>
      <c r="H123" s="255"/>
      <c r="I123" s="255"/>
      <c r="J123" s="255"/>
      <c r="K123" s="255"/>
      <c r="L123" s="255"/>
      <c r="M123" s="255"/>
      <c r="N123" s="255"/>
      <c r="O123" s="255"/>
      <c r="P123" s="255"/>
      <c r="Q123" s="255"/>
      <c r="R123" s="255"/>
      <c r="S123" s="256"/>
      <c r="T123" s="255"/>
      <c r="U123" s="255"/>
      <c r="V123" s="257"/>
      <c r="W123" s="257"/>
      <c r="X123" s="255"/>
      <c r="Y123" s="255"/>
      <c r="Z123" s="255"/>
      <c r="AA123" s="255"/>
      <c r="AB123" s="255"/>
      <c r="AC123" s="255"/>
      <c r="AD123" s="255"/>
      <c r="AE123" s="255"/>
      <c r="AF123" s="255"/>
      <c r="AG123" s="255"/>
      <c r="AH123" s="255"/>
      <c r="AI123" s="255"/>
      <c r="AJ123" s="255"/>
      <c r="AK123" s="255"/>
      <c r="AL123" s="255"/>
      <c r="AM123" s="255"/>
      <c r="AN123" s="255"/>
      <c r="AO123" s="255"/>
      <c r="AP123" s="255"/>
      <c r="AQ123" s="255"/>
      <c r="AR123" s="255"/>
      <c r="AS123" s="256"/>
      <c r="AT123" s="256"/>
      <c r="AU123" s="255"/>
      <c r="AV123" s="255"/>
      <c r="AW123" s="255"/>
      <c r="AX123" s="120"/>
      <c r="AY123" s="255"/>
      <c r="AZ123" s="255"/>
      <c r="BA123" s="255"/>
      <c r="BB123" s="255"/>
      <c r="BC123" s="255"/>
      <c r="BD123" s="255"/>
      <c r="BE123" s="255"/>
      <c r="BF123" s="120"/>
      <c r="BG123" s="120"/>
      <c r="BH123" s="255"/>
      <c r="BI123" s="255"/>
      <c r="BJ123" s="255"/>
      <c r="BK123" s="255"/>
      <c r="BL123" s="255"/>
      <c r="BM123" s="255"/>
      <c r="BN123" s="255"/>
      <c r="BO123" s="255"/>
      <c r="BP123" s="255"/>
      <c r="BQ123" s="255"/>
      <c r="BR123" s="255"/>
      <c r="BS123" s="255"/>
      <c r="BT123" s="255"/>
      <c r="BU123" s="255"/>
      <c r="BV123" s="255"/>
      <c r="BW123" s="255"/>
      <c r="BX123" s="255"/>
      <c r="BY123" s="255"/>
      <c r="BZ123" s="255"/>
      <c r="CA123" s="255"/>
      <c r="CB123" s="255"/>
      <c r="CC123" s="255"/>
      <c r="CD123" s="255"/>
      <c r="CE123" s="255"/>
      <c r="CF123" s="255"/>
      <c r="CG123" s="255"/>
      <c r="CH123" s="255"/>
      <c r="CI123" s="255"/>
      <c r="CJ123" s="255"/>
      <c r="CK123" s="255"/>
      <c r="CL123" s="255"/>
      <c r="CM123" s="255"/>
      <c r="CN123" s="255"/>
      <c r="CO123" s="255"/>
      <c r="CP123" s="255"/>
      <c r="CQ123" s="255"/>
      <c r="CR123" s="255"/>
      <c r="CS123" s="255"/>
      <c r="CT123" s="255"/>
      <c r="CU123" s="255"/>
    </row>
    <row r="124" spans="1:255">
      <c r="A124" s="255"/>
      <c r="B124" s="255"/>
      <c r="C124" s="255"/>
      <c r="D124" s="255"/>
      <c r="E124" s="255"/>
      <c r="F124" s="255"/>
      <c r="G124" s="255"/>
      <c r="H124" s="255"/>
      <c r="I124" s="255"/>
      <c r="J124" s="255"/>
      <c r="K124" s="255"/>
      <c r="L124" s="255"/>
      <c r="M124" s="255"/>
      <c r="N124" s="255"/>
      <c r="O124" s="255"/>
      <c r="P124" s="255"/>
      <c r="Q124" s="255"/>
      <c r="R124" s="255"/>
      <c r="S124" s="256"/>
      <c r="T124" s="255"/>
      <c r="U124" s="255"/>
      <c r="V124" s="257"/>
      <c r="W124" s="257"/>
      <c r="X124" s="255"/>
      <c r="Y124" s="255"/>
      <c r="Z124" s="255"/>
      <c r="AA124" s="255"/>
      <c r="AB124" s="255"/>
      <c r="AC124" s="255"/>
      <c r="AD124" s="255"/>
      <c r="AE124" s="255"/>
      <c r="AF124" s="255"/>
      <c r="AG124" s="255"/>
      <c r="AH124" s="255"/>
      <c r="AI124" s="255"/>
      <c r="AJ124" s="255"/>
      <c r="AK124" s="255"/>
      <c r="AL124" s="255"/>
      <c r="AM124" s="255"/>
      <c r="AN124" s="255"/>
      <c r="AO124" s="255"/>
      <c r="AP124" s="255"/>
      <c r="AQ124" s="255"/>
      <c r="AR124" s="255"/>
      <c r="AS124" s="256"/>
      <c r="AT124" s="256"/>
      <c r="AU124" s="255"/>
      <c r="AV124" s="255"/>
      <c r="AW124" s="255"/>
      <c r="AX124" s="120"/>
      <c r="AY124" s="255"/>
      <c r="AZ124" s="255"/>
      <c r="BA124" s="255"/>
      <c r="BB124" s="255"/>
      <c r="BC124" s="255"/>
      <c r="BD124" s="255"/>
      <c r="BE124" s="255"/>
      <c r="BF124" s="120"/>
      <c r="BG124" s="120"/>
      <c r="BH124" s="255"/>
      <c r="BI124" s="255"/>
      <c r="BJ124" s="255"/>
      <c r="BK124" s="255"/>
      <c r="BL124" s="255"/>
      <c r="BM124" s="255"/>
      <c r="BN124" s="255"/>
      <c r="BO124" s="255"/>
      <c r="BP124" s="255"/>
      <c r="BQ124" s="255"/>
      <c r="BR124" s="255"/>
      <c r="BS124" s="255"/>
      <c r="BT124" s="255"/>
      <c r="BU124" s="255"/>
      <c r="BV124" s="255"/>
      <c r="BW124" s="255"/>
      <c r="BX124" s="255"/>
      <c r="BY124" s="255"/>
      <c r="BZ124" s="255"/>
      <c r="CA124" s="255"/>
      <c r="CB124" s="255"/>
      <c r="CC124" s="255"/>
      <c r="CD124" s="255"/>
      <c r="CE124" s="255"/>
      <c r="CF124" s="255"/>
      <c r="CG124" s="255"/>
      <c r="CH124" s="255"/>
      <c r="CI124" s="255"/>
      <c r="CJ124" s="255"/>
      <c r="CK124" s="255"/>
      <c r="CL124" s="255"/>
      <c r="CM124" s="255"/>
      <c r="CN124" s="255"/>
      <c r="CO124" s="255"/>
      <c r="CP124" s="255"/>
      <c r="CQ124" s="255"/>
      <c r="CR124" s="255"/>
      <c r="CS124" s="255"/>
      <c r="CT124" s="255"/>
      <c r="CU124" s="255"/>
    </row>
    <row r="125" spans="1:255">
      <c r="A125" s="255"/>
      <c r="B125" s="255"/>
      <c r="C125" s="255"/>
      <c r="D125" s="255"/>
      <c r="E125" s="255"/>
      <c r="F125" s="255"/>
      <c r="G125" s="255"/>
      <c r="H125" s="255"/>
      <c r="I125" s="255"/>
      <c r="J125" s="255"/>
      <c r="K125" s="255"/>
      <c r="L125" s="255"/>
      <c r="M125" s="255"/>
      <c r="N125" s="255"/>
      <c r="O125" s="255"/>
      <c r="P125" s="255"/>
      <c r="Q125" s="255"/>
      <c r="R125" s="255"/>
      <c r="S125" s="256"/>
      <c r="T125" s="255"/>
      <c r="U125" s="255"/>
      <c r="V125" s="257"/>
      <c r="W125" s="257"/>
      <c r="X125" s="255"/>
      <c r="Y125" s="255"/>
      <c r="Z125" s="255"/>
      <c r="AA125" s="255"/>
      <c r="AB125" s="255"/>
      <c r="AC125" s="255"/>
      <c r="AD125" s="255"/>
      <c r="AE125" s="255"/>
      <c r="AF125" s="255"/>
      <c r="AG125" s="255"/>
      <c r="AH125" s="255"/>
      <c r="AI125" s="255"/>
      <c r="AJ125" s="255"/>
      <c r="AK125" s="255"/>
      <c r="AL125" s="255"/>
      <c r="AM125" s="255"/>
      <c r="AN125" s="255"/>
      <c r="AO125" s="255"/>
      <c r="AP125" s="255"/>
      <c r="AQ125" s="255"/>
      <c r="AR125" s="255"/>
      <c r="AS125" s="256"/>
      <c r="AT125" s="256"/>
      <c r="AU125" s="255"/>
      <c r="AV125" s="255"/>
      <c r="AW125" s="255"/>
      <c r="AX125" s="120"/>
      <c r="AY125" s="255"/>
      <c r="AZ125" s="255"/>
      <c r="BA125" s="255"/>
      <c r="BB125" s="255"/>
      <c r="BC125" s="255"/>
      <c r="BD125" s="255"/>
      <c r="BE125" s="255"/>
      <c r="BF125" s="120"/>
      <c r="BG125" s="120"/>
      <c r="BH125" s="255"/>
      <c r="BI125" s="255"/>
      <c r="BJ125" s="255"/>
      <c r="BK125" s="255"/>
      <c r="BL125" s="255"/>
      <c r="BM125" s="255"/>
      <c r="BN125" s="255"/>
      <c r="BO125" s="255"/>
      <c r="BP125" s="255"/>
      <c r="BQ125" s="255"/>
      <c r="BR125" s="255"/>
      <c r="BS125" s="255"/>
      <c r="BT125" s="255"/>
      <c r="BU125" s="255"/>
      <c r="BV125" s="255"/>
      <c r="BW125" s="255"/>
      <c r="BX125" s="255"/>
      <c r="BY125" s="255"/>
      <c r="BZ125" s="255"/>
      <c r="CA125" s="255"/>
      <c r="CB125" s="255"/>
      <c r="CC125" s="255"/>
      <c r="CD125" s="255"/>
      <c r="CE125" s="255"/>
      <c r="CF125" s="255"/>
      <c r="CG125" s="255"/>
      <c r="CH125" s="255"/>
      <c r="CI125" s="255"/>
      <c r="CJ125" s="255"/>
      <c r="CK125" s="255"/>
      <c r="CL125" s="255"/>
      <c r="CM125" s="255"/>
      <c r="CN125" s="255"/>
      <c r="CO125" s="255"/>
      <c r="CP125" s="255"/>
      <c r="CQ125" s="255"/>
      <c r="CR125" s="255"/>
      <c r="CS125" s="255"/>
      <c r="CT125" s="255"/>
      <c r="CU125" s="255"/>
    </row>
    <row r="126" spans="1:255">
      <c r="A126" s="255"/>
      <c r="B126" s="255"/>
      <c r="C126" s="255"/>
      <c r="D126" s="255"/>
      <c r="E126" s="255"/>
      <c r="F126" s="255"/>
      <c r="G126" s="255"/>
      <c r="H126" s="255"/>
      <c r="I126" s="255"/>
      <c r="J126" s="255"/>
      <c r="K126" s="255"/>
      <c r="L126" s="255"/>
      <c r="M126" s="255"/>
      <c r="N126" s="255"/>
      <c r="O126" s="255"/>
      <c r="P126" s="255"/>
      <c r="Q126" s="255"/>
      <c r="R126" s="255"/>
      <c r="S126" s="256"/>
      <c r="T126" s="255"/>
      <c r="U126" s="255"/>
      <c r="V126" s="257"/>
      <c r="W126" s="257"/>
      <c r="X126" s="255"/>
      <c r="Y126" s="255"/>
      <c r="Z126" s="255"/>
      <c r="AA126" s="255"/>
      <c r="AB126" s="255"/>
      <c r="AC126" s="255"/>
      <c r="AD126" s="255"/>
      <c r="AE126" s="255"/>
      <c r="AF126" s="255"/>
      <c r="AG126" s="255"/>
      <c r="AH126" s="255"/>
      <c r="AI126" s="255"/>
      <c r="AJ126" s="255"/>
      <c r="AK126" s="255"/>
      <c r="AL126" s="255"/>
      <c r="AM126" s="255"/>
      <c r="AN126" s="255"/>
      <c r="AO126" s="255"/>
      <c r="AP126" s="255"/>
      <c r="AQ126" s="255"/>
      <c r="AR126" s="255"/>
      <c r="AS126" s="256"/>
      <c r="AT126" s="256"/>
      <c r="AU126" s="255"/>
      <c r="AV126" s="255"/>
      <c r="AW126" s="255"/>
      <c r="AX126" s="120"/>
      <c r="AY126" s="255"/>
      <c r="AZ126" s="255"/>
      <c r="BA126" s="255"/>
      <c r="BB126" s="255"/>
      <c r="BC126" s="255"/>
      <c r="BD126" s="255"/>
      <c r="BE126" s="255"/>
      <c r="BF126" s="120"/>
      <c r="BG126" s="120"/>
      <c r="BH126" s="255"/>
      <c r="BI126" s="255"/>
      <c r="BJ126" s="255"/>
      <c r="BK126" s="255"/>
      <c r="BL126" s="255"/>
      <c r="BM126" s="255"/>
      <c r="BN126" s="255"/>
      <c r="BO126" s="255"/>
      <c r="BP126" s="255"/>
      <c r="BQ126" s="255"/>
      <c r="BR126" s="255"/>
      <c r="BS126" s="255"/>
      <c r="BT126" s="255"/>
      <c r="BU126" s="255"/>
      <c r="BV126" s="255"/>
      <c r="BW126" s="255"/>
      <c r="BX126" s="255"/>
      <c r="BY126" s="255"/>
      <c r="BZ126" s="255"/>
      <c r="CA126" s="255"/>
      <c r="CB126" s="255"/>
      <c r="CC126" s="255"/>
      <c r="CD126" s="255"/>
      <c r="CE126" s="255"/>
      <c r="CF126" s="255"/>
      <c r="CG126" s="255"/>
      <c r="CH126" s="255"/>
      <c r="CI126" s="255"/>
      <c r="CJ126" s="255"/>
      <c r="CK126" s="255"/>
      <c r="CL126" s="255"/>
      <c r="CM126" s="255"/>
      <c r="CN126" s="255"/>
      <c r="CO126" s="255"/>
      <c r="CP126" s="255"/>
      <c r="CQ126" s="255"/>
      <c r="CR126" s="255"/>
      <c r="CS126" s="255"/>
      <c r="CT126" s="255"/>
      <c r="CU126" s="255"/>
    </row>
    <row r="127" spans="1:255">
      <c r="A127" s="255"/>
      <c r="B127" s="255"/>
      <c r="C127" s="255"/>
      <c r="D127" s="255"/>
      <c r="E127" s="255"/>
      <c r="F127" s="255"/>
      <c r="G127" s="255"/>
      <c r="H127" s="255"/>
      <c r="I127" s="255"/>
      <c r="J127" s="255"/>
      <c r="K127" s="255"/>
      <c r="L127" s="255"/>
      <c r="M127" s="255"/>
      <c r="N127" s="255"/>
      <c r="O127" s="255"/>
      <c r="P127" s="255"/>
      <c r="Q127" s="255"/>
      <c r="R127" s="255"/>
      <c r="S127" s="256"/>
      <c r="T127" s="255"/>
      <c r="U127" s="255"/>
      <c r="V127" s="257"/>
      <c r="W127" s="257"/>
      <c r="X127" s="255"/>
      <c r="Y127" s="255"/>
      <c r="Z127" s="255"/>
      <c r="AA127" s="255"/>
      <c r="AB127" s="255"/>
      <c r="AC127" s="255"/>
      <c r="AD127" s="255"/>
      <c r="AE127" s="255"/>
      <c r="AF127" s="255"/>
      <c r="AG127" s="255"/>
      <c r="AH127" s="255"/>
      <c r="AI127" s="255"/>
      <c r="AJ127" s="255"/>
      <c r="AK127" s="255"/>
      <c r="AL127" s="255"/>
      <c r="AM127" s="255"/>
      <c r="AN127" s="255"/>
      <c r="AO127" s="255"/>
      <c r="AP127" s="255"/>
      <c r="AQ127" s="255"/>
      <c r="AR127" s="255"/>
      <c r="AS127" s="256"/>
      <c r="AT127" s="256"/>
      <c r="AU127" s="255"/>
      <c r="AV127" s="255"/>
      <c r="AW127" s="255"/>
      <c r="AX127" s="120"/>
      <c r="AY127" s="255"/>
      <c r="AZ127" s="255"/>
      <c r="BA127" s="255"/>
      <c r="BB127" s="255"/>
      <c r="BC127" s="255"/>
      <c r="BD127" s="255"/>
      <c r="BE127" s="255"/>
      <c r="BF127" s="120"/>
      <c r="BG127" s="120"/>
      <c r="BH127" s="255"/>
      <c r="BI127" s="255"/>
      <c r="BJ127" s="255"/>
      <c r="BK127" s="255"/>
      <c r="BL127" s="255"/>
      <c r="BM127" s="255"/>
      <c r="BN127" s="255"/>
      <c r="BO127" s="255"/>
      <c r="BP127" s="255"/>
      <c r="BQ127" s="255"/>
      <c r="BR127" s="255"/>
      <c r="BS127" s="255"/>
      <c r="BT127" s="255"/>
      <c r="BU127" s="255"/>
      <c r="BV127" s="255"/>
      <c r="BW127" s="255"/>
      <c r="BX127" s="255"/>
      <c r="BY127" s="255"/>
      <c r="BZ127" s="255"/>
      <c r="CA127" s="255"/>
      <c r="CB127" s="255"/>
      <c r="CC127" s="255"/>
      <c r="CD127" s="255"/>
      <c r="CE127" s="255"/>
      <c r="CF127" s="255"/>
      <c r="CG127" s="255"/>
      <c r="CH127" s="255"/>
      <c r="CI127" s="255"/>
      <c r="CJ127" s="255"/>
      <c r="CK127" s="255"/>
      <c r="CL127" s="255"/>
      <c r="CM127" s="255"/>
      <c r="CN127" s="255"/>
      <c r="CO127" s="255"/>
      <c r="CP127" s="255"/>
      <c r="CQ127" s="255"/>
      <c r="CR127" s="255"/>
      <c r="CS127" s="255"/>
      <c r="CT127" s="255"/>
      <c r="CU127" s="255"/>
    </row>
    <row r="128" spans="1:255">
      <c r="A128" s="255"/>
      <c r="B128" s="255"/>
      <c r="C128" s="255"/>
      <c r="D128" s="255"/>
      <c r="E128" s="255"/>
      <c r="F128" s="255"/>
      <c r="G128" s="255"/>
      <c r="H128" s="255"/>
      <c r="I128" s="255"/>
      <c r="J128" s="255"/>
      <c r="K128" s="255"/>
      <c r="L128" s="255"/>
      <c r="M128" s="255"/>
      <c r="N128" s="255"/>
      <c r="O128" s="255"/>
      <c r="P128" s="255"/>
      <c r="Q128" s="255"/>
      <c r="R128" s="255"/>
      <c r="S128" s="256"/>
      <c r="T128" s="255"/>
      <c r="U128" s="255"/>
      <c r="V128" s="257"/>
      <c r="W128" s="257"/>
      <c r="X128" s="255"/>
      <c r="Y128" s="255"/>
      <c r="Z128" s="255"/>
      <c r="AA128" s="255"/>
      <c r="AB128" s="255"/>
      <c r="AC128" s="255"/>
      <c r="AD128" s="255"/>
      <c r="AE128" s="255"/>
      <c r="AF128" s="255"/>
      <c r="AG128" s="255"/>
      <c r="AH128" s="255"/>
      <c r="AI128" s="255"/>
      <c r="AJ128" s="255"/>
      <c r="AK128" s="255"/>
      <c r="AL128" s="255"/>
      <c r="AM128" s="255"/>
      <c r="AN128" s="255"/>
      <c r="AO128" s="255"/>
      <c r="AP128" s="255"/>
      <c r="AQ128" s="255"/>
      <c r="AR128" s="255"/>
      <c r="AS128" s="256"/>
      <c r="AT128" s="256"/>
      <c r="AU128" s="255"/>
      <c r="AV128" s="255"/>
      <c r="AW128" s="255"/>
      <c r="AX128" s="120"/>
      <c r="AY128" s="255"/>
      <c r="AZ128" s="255"/>
      <c r="BA128" s="255"/>
      <c r="BB128" s="255"/>
      <c r="BC128" s="255"/>
      <c r="BD128" s="255"/>
      <c r="BE128" s="255"/>
      <c r="BF128" s="120"/>
      <c r="BG128" s="120"/>
      <c r="BH128" s="255"/>
      <c r="BI128" s="255"/>
      <c r="BJ128" s="255"/>
      <c r="BK128" s="255"/>
      <c r="BL128" s="255"/>
      <c r="BM128" s="255"/>
      <c r="BN128" s="255"/>
      <c r="BO128" s="255"/>
      <c r="BP128" s="255"/>
      <c r="BQ128" s="255"/>
      <c r="BR128" s="255"/>
      <c r="BS128" s="255"/>
      <c r="BT128" s="255"/>
      <c r="BU128" s="255"/>
      <c r="BV128" s="255"/>
      <c r="BW128" s="255"/>
      <c r="BX128" s="255"/>
      <c r="BY128" s="255"/>
      <c r="BZ128" s="255"/>
      <c r="CA128" s="255"/>
      <c r="CB128" s="255"/>
      <c r="CC128" s="255"/>
      <c r="CD128" s="255"/>
      <c r="CE128" s="255"/>
      <c r="CF128" s="255"/>
      <c r="CG128" s="255"/>
      <c r="CH128" s="255"/>
      <c r="CI128" s="255"/>
      <c r="CJ128" s="255"/>
      <c r="CK128" s="255"/>
      <c r="CL128" s="255"/>
      <c r="CM128" s="255"/>
      <c r="CN128" s="255"/>
      <c r="CO128" s="255"/>
      <c r="CP128" s="255"/>
      <c r="CQ128" s="255"/>
      <c r="CR128" s="255"/>
      <c r="CS128" s="255"/>
      <c r="CT128" s="255"/>
      <c r="CU128" s="255"/>
    </row>
    <row r="129" spans="1:255">
      <c r="A129" s="255"/>
      <c r="B129" s="255"/>
      <c r="C129" s="255"/>
      <c r="D129" s="255"/>
      <c r="E129" s="255"/>
      <c r="F129" s="255"/>
      <c r="G129" s="255"/>
      <c r="H129" s="255"/>
      <c r="I129" s="255"/>
      <c r="J129" s="255"/>
      <c r="K129" s="255"/>
      <c r="L129" s="255"/>
      <c r="M129" s="255"/>
      <c r="N129" s="255"/>
      <c r="O129" s="255"/>
      <c r="P129" s="255"/>
      <c r="Q129" s="255"/>
      <c r="R129" s="255"/>
      <c r="S129" s="256"/>
      <c r="T129" s="255"/>
      <c r="U129" s="255"/>
      <c r="V129" s="257"/>
      <c r="W129" s="257"/>
      <c r="X129" s="255"/>
      <c r="Y129" s="255"/>
      <c r="Z129" s="255"/>
      <c r="AA129" s="255"/>
      <c r="AB129" s="255"/>
      <c r="AC129" s="255"/>
      <c r="AD129" s="255"/>
      <c r="AE129" s="255"/>
      <c r="AF129" s="255"/>
      <c r="AG129" s="255"/>
      <c r="AH129" s="255"/>
      <c r="AI129" s="255"/>
      <c r="AJ129" s="255"/>
      <c r="AK129" s="255"/>
      <c r="AL129" s="255"/>
      <c r="AM129" s="255"/>
      <c r="AN129" s="255"/>
      <c r="AO129" s="255"/>
      <c r="AP129" s="255"/>
      <c r="AQ129" s="255"/>
      <c r="AR129" s="255"/>
      <c r="AS129" s="256"/>
      <c r="AT129" s="256"/>
      <c r="AU129" s="255"/>
      <c r="AV129" s="255"/>
      <c r="AW129" s="255"/>
      <c r="AX129" s="120"/>
      <c r="AY129" s="255"/>
      <c r="AZ129" s="255"/>
      <c r="BA129" s="255"/>
      <c r="BB129" s="255"/>
      <c r="BC129" s="255"/>
      <c r="BD129" s="255"/>
      <c r="BE129" s="255"/>
      <c r="BF129" s="120"/>
      <c r="BG129" s="120"/>
      <c r="BH129" s="255"/>
      <c r="BI129" s="255"/>
      <c r="BJ129" s="255"/>
      <c r="BK129" s="255"/>
      <c r="BL129" s="255"/>
      <c r="BM129" s="255"/>
      <c r="BN129" s="255"/>
      <c r="BO129" s="255"/>
      <c r="BP129" s="255"/>
      <c r="BQ129" s="255"/>
      <c r="BR129" s="255"/>
      <c r="BS129" s="255"/>
      <c r="BT129" s="255"/>
      <c r="BU129" s="255"/>
      <c r="BV129" s="255"/>
      <c r="BW129" s="255"/>
      <c r="BX129" s="255"/>
      <c r="BY129" s="255"/>
      <c r="BZ129" s="255"/>
      <c r="CA129" s="255"/>
      <c r="CB129" s="255"/>
      <c r="CC129" s="255"/>
      <c r="CD129" s="255"/>
      <c r="CE129" s="255"/>
      <c r="CF129" s="255"/>
      <c r="CG129" s="255"/>
      <c r="CH129" s="255"/>
      <c r="CI129" s="255"/>
      <c r="CJ129" s="255"/>
      <c r="CK129" s="255"/>
      <c r="CL129" s="255"/>
      <c r="CM129" s="255"/>
      <c r="CN129" s="255"/>
      <c r="CO129" s="255"/>
      <c r="CP129" s="255"/>
      <c r="CQ129" s="255"/>
      <c r="CR129" s="255"/>
      <c r="CS129" s="255"/>
      <c r="CT129" s="255"/>
      <c r="CU129" s="255"/>
    </row>
    <row r="130" spans="1:255">
      <c r="A130" s="255"/>
      <c r="B130" s="255"/>
      <c r="C130" s="255"/>
      <c r="D130" s="255"/>
      <c r="E130" s="255"/>
      <c r="F130" s="255"/>
      <c r="G130" s="255"/>
      <c r="H130" s="255"/>
      <c r="I130" s="255"/>
      <c r="J130" s="255"/>
      <c r="K130" s="255"/>
      <c r="L130" s="255"/>
      <c r="M130" s="255"/>
      <c r="N130" s="255"/>
      <c r="O130" s="255"/>
      <c r="P130" s="255"/>
      <c r="Q130" s="255"/>
      <c r="R130" s="255"/>
      <c r="S130" s="256"/>
      <c r="T130" s="255"/>
      <c r="U130" s="255"/>
      <c r="V130" s="257"/>
      <c r="W130" s="257"/>
      <c r="X130" s="255"/>
      <c r="Y130" s="255"/>
      <c r="Z130" s="255"/>
      <c r="AA130" s="255"/>
      <c r="AB130" s="255"/>
      <c r="AC130" s="255"/>
      <c r="AD130" s="255"/>
      <c r="AE130" s="255"/>
      <c r="AF130" s="255"/>
      <c r="AG130" s="255"/>
      <c r="AH130" s="255"/>
      <c r="AI130" s="255"/>
      <c r="AJ130" s="255"/>
      <c r="AK130" s="255"/>
      <c r="AL130" s="255"/>
      <c r="AM130" s="255"/>
      <c r="AN130" s="255"/>
      <c r="AO130" s="255"/>
      <c r="AP130" s="255"/>
      <c r="AQ130" s="255"/>
      <c r="AR130" s="255"/>
      <c r="AS130" s="256"/>
      <c r="AT130" s="256"/>
      <c r="AU130" s="255"/>
      <c r="AV130" s="255"/>
      <c r="AW130" s="255"/>
      <c r="AX130" s="120"/>
      <c r="AY130" s="255"/>
      <c r="AZ130" s="255"/>
      <c r="BA130" s="255"/>
      <c r="BB130" s="255"/>
      <c r="BC130" s="255"/>
      <c r="BD130" s="255"/>
      <c r="BE130" s="255"/>
      <c r="BF130" s="120"/>
      <c r="BG130" s="120"/>
      <c r="BH130" s="255"/>
      <c r="BI130" s="255"/>
      <c r="BJ130" s="255"/>
      <c r="BK130" s="255"/>
      <c r="BL130" s="255"/>
      <c r="BM130" s="255"/>
      <c r="BN130" s="255"/>
      <c r="BO130" s="255"/>
      <c r="BP130" s="255"/>
      <c r="BQ130" s="255"/>
      <c r="BR130" s="255"/>
      <c r="BS130" s="255"/>
      <c r="BT130" s="255"/>
      <c r="BU130" s="255"/>
      <c r="BV130" s="255"/>
      <c r="BW130" s="255"/>
      <c r="BX130" s="255"/>
      <c r="BY130" s="255"/>
      <c r="BZ130" s="255"/>
      <c r="CA130" s="255"/>
      <c r="CB130" s="255"/>
      <c r="CC130" s="255"/>
      <c r="CD130" s="255"/>
      <c r="CE130" s="255"/>
      <c r="CF130" s="255"/>
      <c r="CG130" s="255"/>
      <c r="CH130" s="255"/>
      <c r="CI130" s="255"/>
      <c r="CJ130" s="255"/>
      <c r="CK130" s="255"/>
      <c r="CL130" s="255"/>
      <c r="CM130" s="255"/>
      <c r="CN130" s="255"/>
      <c r="CO130" s="255"/>
      <c r="CP130" s="255"/>
      <c r="CQ130" s="255"/>
      <c r="CR130" s="255"/>
      <c r="CS130" s="255"/>
      <c r="CT130" s="255"/>
      <c r="CU130" s="255"/>
    </row>
    <row r="131" spans="1:255">
      <c r="A131" s="255"/>
      <c r="B131" s="255"/>
      <c r="C131" s="255"/>
      <c r="D131" s="255"/>
      <c r="E131" s="255"/>
      <c r="F131" s="255"/>
      <c r="G131" s="255"/>
      <c r="H131" s="255"/>
      <c r="I131" s="255"/>
      <c r="J131" s="255"/>
      <c r="K131" s="255"/>
      <c r="L131" s="255"/>
      <c r="M131" s="255"/>
      <c r="N131" s="255"/>
      <c r="O131" s="255"/>
      <c r="P131" s="255"/>
      <c r="Q131" s="255"/>
      <c r="R131" s="255"/>
      <c r="S131" s="256"/>
      <c r="T131" s="255"/>
      <c r="U131" s="255"/>
      <c r="V131" s="257"/>
      <c r="W131" s="257"/>
      <c r="X131" s="255"/>
      <c r="Y131" s="255"/>
      <c r="Z131" s="255"/>
      <c r="AA131" s="255"/>
      <c r="AB131" s="255"/>
      <c r="AC131" s="255"/>
      <c r="AD131" s="255"/>
      <c r="AE131" s="255"/>
      <c r="AF131" s="255"/>
      <c r="AG131" s="255"/>
      <c r="AH131" s="255"/>
      <c r="AI131" s="255"/>
      <c r="AJ131" s="255"/>
      <c r="AK131" s="255"/>
      <c r="AL131" s="255"/>
      <c r="AM131" s="255"/>
      <c r="AN131" s="255"/>
      <c r="AO131" s="255"/>
      <c r="AP131" s="255"/>
      <c r="AQ131" s="255"/>
      <c r="AR131" s="255"/>
      <c r="AS131" s="256"/>
      <c r="AT131" s="256"/>
      <c r="AU131" s="255"/>
      <c r="AV131" s="255"/>
      <c r="AW131" s="255"/>
      <c r="AX131" s="120"/>
      <c r="AY131" s="255"/>
      <c r="AZ131" s="255"/>
      <c r="BA131" s="255"/>
      <c r="BB131" s="255"/>
      <c r="BC131" s="255"/>
      <c r="BD131" s="255"/>
      <c r="BE131" s="255"/>
      <c r="BF131" s="120"/>
      <c r="BG131" s="120"/>
      <c r="BH131" s="255"/>
      <c r="BI131" s="255"/>
      <c r="BJ131" s="255"/>
      <c r="BK131" s="255"/>
      <c r="BL131" s="255"/>
      <c r="BM131" s="255"/>
      <c r="BN131" s="255"/>
      <c r="BO131" s="255"/>
      <c r="BP131" s="255"/>
      <c r="BQ131" s="255"/>
      <c r="BR131" s="255"/>
      <c r="BS131" s="255"/>
      <c r="BT131" s="255"/>
      <c r="BU131" s="255"/>
      <c r="BV131" s="255"/>
      <c r="BW131" s="255"/>
      <c r="BX131" s="255"/>
      <c r="BY131" s="255"/>
      <c r="BZ131" s="255"/>
      <c r="CA131" s="255"/>
      <c r="CB131" s="255"/>
      <c r="CC131" s="255"/>
      <c r="CD131" s="255"/>
      <c r="CE131" s="255"/>
      <c r="CF131" s="255"/>
      <c r="CG131" s="255"/>
      <c r="CH131" s="255"/>
      <c r="CI131" s="255"/>
      <c r="CJ131" s="255"/>
      <c r="CK131" s="255"/>
      <c r="CL131" s="255"/>
      <c r="CM131" s="255"/>
      <c r="CN131" s="255"/>
      <c r="CO131" s="255"/>
      <c r="CP131" s="255"/>
      <c r="CQ131" s="255"/>
      <c r="CR131" s="255"/>
      <c r="CS131" s="255"/>
      <c r="CT131" s="255"/>
      <c r="CU131" s="255"/>
    </row>
    <row r="132" spans="1:255">
      <c r="A132" s="255"/>
      <c r="B132" s="255"/>
      <c r="C132" s="255"/>
      <c r="D132" s="255"/>
      <c r="E132" s="255"/>
      <c r="F132" s="255"/>
      <c r="G132" s="255"/>
      <c r="H132" s="255"/>
      <c r="I132" s="255"/>
      <c r="J132" s="255"/>
      <c r="K132" s="255"/>
      <c r="L132" s="255"/>
      <c r="M132" s="255"/>
      <c r="N132" s="255"/>
      <c r="O132" s="255"/>
      <c r="P132" s="255"/>
      <c r="Q132" s="255"/>
      <c r="R132" s="255"/>
      <c r="S132" s="256"/>
      <c r="T132" s="255"/>
      <c r="U132" s="255"/>
      <c r="V132" s="257"/>
      <c r="W132" s="257"/>
      <c r="X132" s="255"/>
      <c r="Y132" s="255"/>
      <c r="Z132" s="255"/>
      <c r="AA132" s="255"/>
      <c r="AB132" s="255"/>
      <c r="AC132" s="255"/>
      <c r="AD132" s="255"/>
      <c r="AE132" s="255"/>
      <c r="AF132" s="255"/>
      <c r="AG132" s="255"/>
      <c r="AH132" s="255"/>
      <c r="AI132" s="255"/>
      <c r="AJ132" s="255"/>
      <c r="AK132" s="255"/>
      <c r="AL132" s="255"/>
      <c r="AM132" s="255"/>
      <c r="AN132" s="255"/>
      <c r="AO132" s="255"/>
      <c r="AP132" s="255"/>
      <c r="AQ132" s="255"/>
      <c r="AR132" s="255"/>
      <c r="AS132" s="256"/>
      <c r="AT132" s="256"/>
      <c r="AU132" s="255"/>
      <c r="AV132" s="255"/>
      <c r="AW132" s="255"/>
      <c r="AX132" s="120"/>
      <c r="AY132" s="255"/>
      <c r="AZ132" s="255"/>
      <c r="BA132" s="255"/>
      <c r="BB132" s="255"/>
      <c r="BC132" s="255"/>
      <c r="BD132" s="255"/>
      <c r="BE132" s="255"/>
      <c r="BF132" s="120"/>
      <c r="BG132" s="120"/>
      <c r="BH132" s="255"/>
      <c r="BI132" s="255"/>
      <c r="BJ132" s="255"/>
      <c r="BK132" s="255"/>
      <c r="BL132" s="255"/>
      <c r="BM132" s="255"/>
      <c r="BN132" s="255"/>
      <c r="BO132" s="255"/>
      <c r="BP132" s="255"/>
      <c r="BQ132" s="255"/>
      <c r="BR132" s="255"/>
      <c r="BS132" s="255"/>
      <c r="BT132" s="255"/>
      <c r="BU132" s="255"/>
      <c r="BV132" s="255"/>
      <c r="BW132" s="255"/>
      <c r="BX132" s="255"/>
      <c r="BY132" s="255"/>
      <c r="BZ132" s="255"/>
      <c r="CA132" s="255"/>
      <c r="CB132" s="255"/>
      <c r="CC132" s="255"/>
      <c r="CD132" s="255"/>
      <c r="CE132" s="255"/>
      <c r="CF132" s="255"/>
      <c r="CG132" s="255"/>
      <c r="CH132" s="255"/>
      <c r="CI132" s="255"/>
      <c r="CJ132" s="255"/>
      <c r="CK132" s="255"/>
      <c r="CL132" s="255"/>
      <c r="CM132" s="255"/>
      <c r="CN132" s="255"/>
      <c r="CO132" s="255"/>
      <c r="CP132" s="255"/>
      <c r="CQ132" s="255"/>
      <c r="CR132" s="255"/>
      <c r="CS132" s="255"/>
      <c r="CT132" s="255"/>
      <c r="CU132" s="255"/>
    </row>
    <row r="133" spans="1:255">
      <c r="A133" s="255"/>
      <c r="B133" s="255"/>
      <c r="C133" s="255"/>
      <c r="D133" s="255"/>
      <c r="E133" s="255"/>
      <c r="F133" s="255"/>
      <c r="G133" s="255"/>
      <c r="H133" s="255"/>
      <c r="I133" s="255"/>
      <c r="J133" s="255"/>
      <c r="K133" s="255"/>
      <c r="L133" s="255"/>
      <c r="M133" s="255"/>
      <c r="N133" s="255"/>
      <c r="O133" s="255"/>
      <c r="P133" s="255"/>
      <c r="Q133" s="255"/>
      <c r="R133" s="255"/>
      <c r="S133" s="256"/>
      <c r="T133" s="255"/>
      <c r="U133" s="255"/>
      <c r="V133" s="257"/>
      <c r="W133" s="257"/>
      <c r="X133" s="255"/>
      <c r="Y133" s="255"/>
      <c r="Z133" s="255"/>
      <c r="AA133" s="255"/>
      <c r="AB133" s="255"/>
      <c r="AC133" s="255"/>
      <c r="AD133" s="255"/>
      <c r="AE133" s="255"/>
      <c r="AF133" s="255"/>
      <c r="AG133" s="255"/>
      <c r="AH133" s="255"/>
      <c r="AI133" s="255"/>
      <c r="AJ133" s="255"/>
      <c r="AK133" s="255"/>
      <c r="AL133" s="255"/>
      <c r="AM133" s="255"/>
      <c r="AN133" s="255"/>
      <c r="AO133" s="255"/>
      <c r="AP133" s="255"/>
      <c r="AQ133" s="255"/>
      <c r="AR133" s="255"/>
      <c r="AS133" s="256"/>
      <c r="AT133" s="256"/>
      <c r="AU133" s="255"/>
      <c r="AV133" s="255"/>
      <c r="AW133" s="255"/>
      <c r="AX133" s="120"/>
      <c r="AY133" s="255"/>
      <c r="AZ133" s="255"/>
      <c r="BA133" s="255"/>
      <c r="BB133" s="255"/>
      <c r="BC133" s="255"/>
      <c r="BD133" s="255"/>
      <c r="BE133" s="255"/>
      <c r="BF133" s="120"/>
      <c r="BG133" s="120"/>
      <c r="BH133" s="255"/>
      <c r="BI133" s="255"/>
      <c r="BJ133" s="255"/>
      <c r="BK133" s="255"/>
      <c r="BL133" s="255"/>
      <c r="BM133" s="255"/>
      <c r="BN133" s="255"/>
      <c r="BO133" s="255"/>
      <c r="BP133" s="255"/>
      <c r="BQ133" s="255"/>
      <c r="BR133" s="255"/>
      <c r="BS133" s="255"/>
      <c r="BT133" s="255"/>
      <c r="BU133" s="255"/>
      <c r="BV133" s="255"/>
      <c r="BW133" s="255"/>
      <c r="BX133" s="255"/>
      <c r="BY133" s="255"/>
      <c r="BZ133" s="255"/>
      <c r="CA133" s="255"/>
      <c r="CB133" s="255"/>
      <c r="CC133" s="255"/>
      <c r="CD133" s="255"/>
      <c r="CE133" s="255"/>
      <c r="CF133" s="255"/>
      <c r="CG133" s="255"/>
      <c r="CH133" s="255"/>
      <c r="CI133" s="255"/>
      <c r="CJ133" s="255"/>
      <c r="CK133" s="255"/>
      <c r="CL133" s="255"/>
      <c r="CM133" s="255"/>
      <c r="CN133" s="255"/>
      <c r="CO133" s="255"/>
      <c r="CP133" s="255"/>
      <c r="CQ133" s="255"/>
      <c r="CR133" s="255"/>
      <c r="CS133" s="255"/>
      <c r="CT133" s="255"/>
      <c r="CU133" s="255"/>
    </row>
    <row r="134" spans="1:255">
      <c r="A134" s="255"/>
      <c r="B134" s="255"/>
      <c r="C134" s="255"/>
      <c r="D134" s="255"/>
      <c r="E134" s="255"/>
      <c r="F134" s="255"/>
      <c r="G134" s="255"/>
      <c r="H134" s="255"/>
      <c r="I134" s="255"/>
      <c r="J134" s="255"/>
      <c r="K134" s="255"/>
      <c r="L134" s="255"/>
      <c r="M134" s="255"/>
      <c r="N134" s="255"/>
      <c r="O134" s="255"/>
      <c r="P134" s="255"/>
      <c r="Q134" s="255"/>
      <c r="R134" s="255"/>
      <c r="S134" s="256"/>
      <c r="T134" s="255"/>
      <c r="U134" s="255"/>
      <c r="V134" s="257"/>
      <c r="W134" s="257"/>
      <c r="X134" s="255"/>
      <c r="Y134" s="255"/>
      <c r="Z134" s="255"/>
      <c r="AA134" s="255"/>
      <c r="AB134" s="255"/>
      <c r="AC134" s="255"/>
      <c r="AD134" s="255"/>
      <c r="AE134" s="255"/>
      <c r="AF134" s="255"/>
      <c r="AG134" s="255"/>
      <c r="AH134" s="255"/>
      <c r="AI134" s="255"/>
      <c r="AJ134" s="255"/>
      <c r="AK134" s="255"/>
      <c r="AL134" s="255"/>
      <c r="AM134" s="255"/>
      <c r="AN134" s="255"/>
      <c r="AO134" s="255"/>
      <c r="AP134" s="255"/>
      <c r="AQ134" s="255"/>
      <c r="AR134" s="255"/>
      <c r="AS134" s="256"/>
      <c r="AT134" s="256"/>
      <c r="AU134" s="255"/>
      <c r="AV134" s="255"/>
      <c r="AW134" s="255"/>
      <c r="AX134" s="120"/>
      <c r="AY134" s="255"/>
      <c r="AZ134" s="255"/>
      <c r="BA134" s="255"/>
      <c r="BB134" s="255"/>
      <c r="BC134" s="255"/>
      <c r="BD134" s="255"/>
      <c r="BE134" s="255"/>
      <c r="BF134" s="120"/>
      <c r="BG134" s="120"/>
      <c r="BH134" s="255"/>
      <c r="BI134" s="255"/>
      <c r="BJ134" s="255"/>
      <c r="BK134" s="255"/>
      <c r="BL134" s="255"/>
      <c r="BM134" s="255"/>
      <c r="BN134" s="255"/>
      <c r="BO134" s="255"/>
      <c r="BP134" s="255"/>
      <c r="BQ134" s="255"/>
      <c r="BR134" s="255"/>
      <c r="BS134" s="255"/>
      <c r="BT134" s="255"/>
      <c r="BU134" s="255"/>
      <c r="BV134" s="255"/>
      <c r="BW134" s="255"/>
      <c r="BX134" s="255"/>
      <c r="BY134" s="255"/>
      <c r="BZ134" s="255"/>
      <c r="CA134" s="255"/>
      <c r="CB134" s="255"/>
      <c r="CC134" s="255"/>
      <c r="CD134" s="255"/>
      <c r="CE134" s="255"/>
      <c r="CF134" s="255"/>
      <c r="CG134" s="255"/>
      <c r="CH134" s="255"/>
      <c r="CI134" s="255"/>
      <c r="CJ134" s="255"/>
      <c r="CK134" s="255"/>
      <c r="CL134" s="255"/>
      <c r="CM134" s="255"/>
      <c r="CN134" s="255"/>
      <c r="CO134" s="255"/>
      <c r="CP134" s="255"/>
      <c r="CQ134" s="255"/>
      <c r="CR134" s="255"/>
      <c r="CS134" s="255"/>
      <c r="CT134" s="255"/>
      <c r="CU134" s="255"/>
    </row>
    <row r="135" spans="1:255">
      <c r="A135" s="255"/>
      <c r="B135" s="255"/>
      <c r="C135" s="255"/>
      <c r="D135" s="255"/>
      <c r="E135" s="255"/>
      <c r="F135" s="255"/>
      <c r="G135" s="255"/>
      <c r="H135" s="255"/>
      <c r="I135" s="255"/>
      <c r="J135" s="255"/>
      <c r="K135" s="255"/>
      <c r="L135" s="255"/>
      <c r="M135" s="255"/>
      <c r="N135" s="255"/>
      <c r="O135" s="255"/>
      <c r="P135" s="255"/>
      <c r="Q135" s="255"/>
      <c r="R135" s="255"/>
      <c r="S135" s="256"/>
      <c r="T135" s="255"/>
      <c r="U135" s="255"/>
      <c r="V135" s="257"/>
      <c r="W135" s="257"/>
      <c r="X135" s="255"/>
      <c r="Y135" s="255"/>
      <c r="Z135" s="255"/>
      <c r="AA135" s="255"/>
      <c r="AB135" s="255"/>
      <c r="AC135" s="255"/>
      <c r="AD135" s="255"/>
      <c r="AE135" s="255"/>
      <c r="AF135" s="255"/>
      <c r="AG135" s="255"/>
      <c r="AH135" s="255"/>
      <c r="AI135" s="255"/>
      <c r="AJ135" s="255"/>
      <c r="AK135" s="255"/>
      <c r="AL135" s="255"/>
      <c r="AM135" s="255"/>
      <c r="AN135" s="255"/>
      <c r="AO135" s="255"/>
      <c r="AP135" s="255"/>
      <c r="AQ135" s="255"/>
      <c r="AR135" s="255"/>
      <c r="AS135" s="256"/>
      <c r="AT135" s="256"/>
      <c r="AU135" s="255"/>
      <c r="AV135" s="255"/>
      <c r="AW135" s="255"/>
      <c r="AX135" s="120"/>
      <c r="AY135" s="255"/>
      <c r="AZ135" s="255"/>
      <c r="BA135" s="255"/>
      <c r="BB135" s="255"/>
      <c r="BC135" s="255"/>
      <c r="BD135" s="255"/>
      <c r="BE135" s="255"/>
      <c r="BF135" s="120"/>
      <c r="BG135" s="120"/>
      <c r="BH135" s="255"/>
      <c r="BI135" s="255"/>
      <c r="BJ135" s="255"/>
      <c r="BK135" s="255"/>
      <c r="BL135" s="255"/>
      <c r="BM135" s="255"/>
      <c r="BN135" s="255"/>
      <c r="BO135" s="255"/>
      <c r="BP135" s="255"/>
      <c r="BQ135" s="255"/>
      <c r="BR135" s="255"/>
      <c r="BS135" s="255"/>
      <c r="BT135" s="255"/>
      <c r="BU135" s="255"/>
      <c r="BV135" s="255"/>
      <c r="BW135" s="255"/>
      <c r="BX135" s="255"/>
      <c r="BY135" s="255"/>
      <c r="BZ135" s="255"/>
      <c r="CA135" s="255"/>
      <c r="CB135" s="255"/>
      <c r="CC135" s="255"/>
      <c r="CD135" s="255"/>
      <c r="CE135" s="255"/>
      <c r="CF135" s="255"/>
      <c r="CG135" s="255"/>
      <c r="CH135" s="255"/>
      <c r="CI135" s="255"/>
      <c r="CJ135" s="255"/>
      <c r="CK135" s="255"/>
      <c r="CL135" s="255"/>
      <c r="CM135" s="255"/>
      <c r="CN135" s="255"/>
      <c r="CO135" s="255"/>
      <c r="CP135" s="255"/>
      <c r="CQ135" s="255"/>
      <c r="CR135" s="255"/>
      <c r="CS135" s="255"/>
      <c r="CT135" s="255"/>
      <c r="CU135" s="255"/>
    </row>
    <row r="136" spans="1:255">
      <c r="A136" s="255"/>
      <c r="B136" s="255"/>
      <c r="C136" s="255"/>
      <c r="D136" s="255"/>
      <c r="E136" s="255"/>
      <c r="F136" s="255"/>
      <c r="G136" s="255"/>
      <c r="H136" s="255"/>
      <c r="I136" s="255"/>
      <c r="J136" s="255"/>
      <c r="K136" s="255"/>
      <c r="L136" s="255"/>
      <c r="M136" s="255"/>
      <c r="N136" s="255"/>
      <c r="O136" s="255"/>
      <c r="P136" s="255"/>
      <c r="Q136" s="255"/>
      <c r="R136" s="255"/>
      <c r="S136" s="256"/>
      <c r="T136" s="255"/>
      <c r="U136" s="255"/>
      <c r="V136" s="257"/>
      <c r="W136" s="257"/>
      <c r="X136" s="255"/>
      <c r="Y136" s="255"/>
      <c r="Z136" s="255"/>
      <c r="AA136" s="255"/>
      <c r="AB136" s="255"/>
      <c r="AC136" s="255"/>
      <c r="AD136" s="255"/>
      <c r="AE136" s="255"/>
      <c r="AF136" s="255"/>
      <c r="AG136" s="255"/>
      <c r="AH136" s="255"/>
      <c r="AI136" s="255"/>
      <c r="AJ136" s="255"/>
      <c r="AK136" s="255"/>
      <c r="AL136" s="255"/>
      <c r="AM136" s="255"/>
      <c r="AN136" s="255"/>
      <c r="AO136" s="255"/>
      <c r="AP136" s="255"/>
      <c r="AQ136" s="255"/>
      <c r="AR136" s="255"/>
      <c r="AS136" s="256"/>
      <c r="AT136" s="256"/>
      <c r="AU136" s="255"/>
      <c r="AV136" s="255"/>
      <c r="AW136" s="255"/>
      <c r="AX136" s="120"/>
      <c r="AY136" s="255"/>
      <c r="AZ136" s="255"/>
      <c r="BA136" s="255"/>
      <c r="BB136" s="255"/>
      <c r="BC136" s="255"/>
      <c r="BD136" s="255"/>
      <c r="BE136" s="255"/>
      <c r="BF136" s="120"/>
      <c r="BG136" s="120"/>
      <c r="BH136" s="255"/>
      <c r="BI136" s="255"/>
      <c r="BJ136" s="255"/>
      <c r="BK136" s="255"/>
      <c r="BL136" s="255"/>
      <c r="BM136" s="255"/>
      <c r="BN136" s="255"/>
      <c r="BO136" s="255"/>
      <c r="BP136" s="255"/>
      <c r="BQ136" s="255"/>
      <c r="BR136" s="255"/>
      <c r="BS136" s="255"/>
      <c r="BT136" s="255"/>
      <c r="BU136" s="255"/>
      <c r="BV136" s="255"/>
      <c r="BW136" s="255"/>
      <c r="BX136" s="255"/>
      <c r="BY136" s="255"/>
      <c r="BZ136" s="255"/>
      <c r="CA136" s="255"/>
      <c r="CB136" s="255"/>
      <c r="CC136" s="255"/>
      <c r="CD136" s="255"/>
      <c r="CE136" s="255"/>
      <c r="CF136" s="255"/>
      <c r="CG136" s="255"/>
      <c r="CH136" s="255"/>
      <c r="CI136" s="255"/>
      <c r="CJ136" s="255"/>
      <c r="CK136" s="255"/>
      <c r="CL136" s="255"/>
      <c r="CM136" s="255"/>
      <c r="CN136" s="255"/>
      <c r="CO136" s="255"/>
      <c r="CP136" s="255"/>
      <c r="CQ136" s="255"/>
      <c r="CR136" s="255"/>
      <c r="CS136" s="255"/>
      <c r="CT136" s="255"/>
      <c r="CU136" s="255"/>
    </row>
    <row r="137" spans="1:255">
      <c r="A137" s="255"/>
      <c r="B137" s="255"/>
      <c r="C137" s="255"/>
      <c r="D137" s="255"/>
      <c r="E137" s="255"/>
      <c r="F137" s="255"/>
      <c r="G137" s="255"/>
      <c r="H137" s="255"/>
      <c r="I137" s="255"/>
      <c r="J137" s="255"/>
      <c r="K137" s="255"/>
      <c r="L137" s="255"/>
      <c r="M137" s="255"/>
      <c r="N137" s="255"/>
      <c r="O137" s="255"/>
      <c r="P137" s="255"/>
      <c r="Q137" s="255"/>
      <c r="R137" s="255"/>
      <c r="S137" s="256"/>
      <c r="T137" s="255"/>
      <c r="U137" s="255"/>
      <c r="V137" s="257"/>
      <c r="W137" s="257"/>
      <c r="X137" s="255"/>
      <c r="Y137" s="255"/>
      <c r="Z137" s="255"/>
      <c r="AA137" s="255"/>
      <c r="AB137" s="255"/>
      <c r="AC137" s="255"/>
      <c r="AD137" s="255"/>
      <c r="AE137" s="255"/>
      <c r="AF137" s="255"/>
      <c r="AG137" s="255"/>
      <c r="AH137" s="255"/>
      <c r="AI137" s="255"/>
      <c r="AJ137" s="255"/>
      <c r="AK137" s="255"/>
      <c r="AL137" s="255"/>
      <c r="AM137" s="255"/>
      <c r="AN137" s="255"/>
      <c r="AO137" s="255"/>
      <c r="AP137" s="255"/>
      <c r="AQ137" s="255"/>
      <c r="AR137" s="255"/>
      <c r="AS137" s="256"/>
      <c r="AT137" s="256"/>
      <c r="AU137" s="255"/>
      <c r="AV137" s="255"/>
      <c r="AW137" s="255"/>
      <c r="AX137" s="120"/>
      <c r="AY137" s="255"/>
      <c r="AZ137" s="255"/>
      <c r="BA137" s="255"/>
      <c r="BB137" s="255"/>
      <c r="BC137" s="255"/>
      <c r="BD137" s="255"/>
      <c r="BE137" s="255"/>
      <c r="BF137" s="120"/>
      <c r="BG137" s="120"/>
      <c r="BH137" s="255"/>
      <c r="BI137" s="255"/>
      <c r="BJ137" s="255"/>
      <c r="BK137" s="255"/>
      <c r="BL137" s="255"/>
      <c r="BM137" s="255"/>
      <c r="BN137" s="255"/>
      <c r="BO137" s="255"/>
      <c r="BP137" s="255"/>
      <c r="BQ137" s="255"/>
      <c r="BR137" s="255"/>
      <c r="BS137" s="255"/>
      <c r="BT137" s="255"/>
      <c r="BU137" s="255"/>
      <c r="BV137" s="255"/>
      <c r="BW137" s="255"/>
      <c r="BX137" s="255"/>
      <c r="BY137" s="255"/>
      <c r="BZ137" s="255"/>
      <c r="CA137" s="255"/>
      <c r="CB137" s="255"/>
      <c r="CC137" s="255"/>
      <c r="CD137" s="255"/>
      <c r="CE137" s="255"/>
      <c r="CF137" s="255"/>
      <c r="CG137" s="255"/>
      <c r="CH137" s="255"/>
      <c r="CI137" s="255"/>
      <c r="CJ137" s="255"/>
      <c r="CK137" s="255"/>
      <c r="CL137" s="255"/>
      <c r="CM137" s="255"/>
      <c r="CN137" s="255"/>
      <c r="CO137" s="255"/>
      <c r="CP137" s="255"/>
      <c r="CQ137" s="255"/>
      <c r="CR137" s="255"/>
      <c r="CS137" s="255"/>
      <c r="CT137" s="255"/>
      <c r="CU137" s="255"/>
    </row>
    <row r="138" spans="1:255">
      <c r="A138" s="255"/>
      <c r="B138" s="255"/>
      <c r="C138" s="255"/>
      <c r="D138" s="255"/>
      <c r="E138" s="255"/>
      <c r="F138" s="255"/>
      <c r="G138" s="255"/>
      <c r="H138" s="255"/>
      <c r="I138" s="255"/>
      <c r="J138" s="255"/>
      <c r="K138" s="255"/>
      <c r="L138" s="255"/>
      <c r="M138" s="255"/>
      <c r="N138" s="255"/>
      <c r="O138" s="255"/>
      <c r="P138" s="255"/>
      <c r="Q138" s="255"/>
      <c r="R138" s="255"/>
      <c r="S138" s="256"/>
      <c r="T138" s="255"/>
      <c r="U138" s="255"/>
      <c r="V138" s="257"/>
      <c r="W138" s="257"/>
      <c r="X138" s="255"/>
      <c r="Y138" s="255"/>
      <c r="Z138" s="255"/>
      <c r="AA138" s="255"/>
      <c r="AB138" s="255"/>
      <c r="AC138" s="255"/>
      <c r="AD138" s="255"/>
      <c r="AE138" s="255"/>
      <c r="AF138" s="255"/>
      <c r="AG138" s="255"/>
      <c r="AH138" s="255"/>
      <c r="AI138" s="255"/>
      <c r="AJ138" s="255"/>
      <c r="AK138" s="255"/>
      <c r="AL138" s="255"/>
      <c r="AM138" s="255"/>
      <c r="AN138" s="255"/>
      <c r="AO138" s="255"/>
      <c r="AP138" s="255"/>
      <c r="AQ138" s="255"/>
      <c r="AR138" s="255"/>
      <c r="AS138" s="256"/>
      <c r="AT138" s="256"/>
      <c r="AU138" s="255"/>
      <c r="AV138" s="255"/>
      <c r="AW138" s="255"/>
      <c r="AX138" s="120"/>
      <c r="AY138" s="255"/>
      <c r="AZ138" s="255"/>
      <c r="BA138" s="255"/>
      <c r="BB138" s="255"/>
      <c r="BC138" s="255"/>
      <c r="BD138" s="255"/>
      <c r="BE138" s="255"/>
      <c r="BF138" s="120"/>
      <c r="BG138" s="120"/>
      <c r="BH138" s="255"/>
      <c r="BI138" s="255"/>
      <c r="BJ138" s="255"/>
      <c r="BK138" s="255"/>
      <c r="BL138" s="255"/>
      <c r="BM138" s="255"/>
      <c r="BN138" s="255"/>
      <c r="BO138" s="255"/>
      <c r="BP138" s="255"/>
      <c r="BQ138" s="255"/>
      <c r="BR138" s="255"/>
      <c r="BS138" s="255"/>
      <c r="BT138" s="255"/>
      <c r="BU138" s="255"/>
      <c r="BV138" s="255"/>
      <c r="BW138" s="255"/>
      <c r="BX138" s="255"/>
      <c r="BY138" s="255"/>
      <c r="BZ138" s="255"/>
      <c r="CA138" s="255"/>
      <c r="CB138" s="255"/>
      <c r="CC138" s="255"/>
      <c r="CD138" s="255"/>
      <c r="CE138" s="255"/>
      <c r="CF138" s="255"/>
      <c r="CG138" s="255"/>
      <c r="CH138" s="255"/>
      <c r="CI138" s="255"/>
      <c r="CJ138" s="255"/>
      <c r="CK138" s="255"/>
      <c r="CL138" s="255"/>
      <c r="CM138" s="255"/>
      <c r="CN138" s="255"/>
      <c r="CO138" s="255"/>
      <c r="CP138" s="255"/>
      <c r="CQ138" s="255"/>
      <c r="CR138" s="255"/>
      <c r="CS138" s="255"/>
      <c r="CT138" s="255"/>
      <c r="CU138" s="255"/>
    </row>
  </sheetData>
  <mergeCells>
    <mergeCell ref="P6:W6"/>
    <mergeCell ref="X6:AN6"/>
    <mergeCell ref="AP6:AQ6"/>
    <mergeCell ref="AS6:AW6"/>
    <mergeCell ref="T7:U7"/>
    <mergeCell ref="A6:A7"/>
    <mergeCell ref="B6:B7"/>
    <mergeCell ref="H6:H7"/>
    <mergeCell ref="I6:I7"/>
    <mergeCell ref="J6:J7"/>
    <mergeCell ref="G6:G7"/>
    <mergeCell ref="K6:K7"/>
    <mergeCell ref="L6:L7"/>
    <mergeCell ref="M6:M7"/>
    <mergeCell ref="N6:N7"/>
    <mergeCell ref="O6:O7"/>
  </mergeCells>
  <printOptions gridLines="false" gridLinesSet="true"/>
  <pageMargins left="0.7" right="0.7" top="0.75" bottom="0.75" header="0.3" footer="0.3"/>
  <pageSetup paperSize="9" orientation="landscape" scale="80" fitToHeight="1" fitToWidth="1" pageOrder="downThenOver" r:id="rId1ps"/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222"/>
  <sheetViews>
    <sheetView tabSelected="0" workbookViewId="0" zoomScale="60" zoomScaleNormal="60" showGridLines="false" showRowColHeaders="1">
      <selection activeCell="N1" sqref="N1:O2"/>
    </sheetView>
  </sheetViews>
  <sheetFormatPr defaultRowHeight="14.4" defaultColWidth="9" outlineLevelRow="0" outlineLevelCol="0"/>
  <cols>
    <col min="1" max="1" width="5.54296875" customWidth="true" style="0"/>
    <col min="2" max="2" width="7" customWidth="true" style="0"/>
    <col min="3" max="3" width="6.453125" customWidth="true" style="0"/>
    <col min="4" max="4" width="28.453125" customWidth="true" style="0"/>
    <col min="5" max="5" width="4.453125" customWidth="true" style="0"/>
    <col min="6" max="6" width="28.453125" customWidth="true" style="0"/>
    <col min="7" max="7" width="7.453125" customWidth="true" style="0"/>
    <col min="8" max="8" width="6.1796875" customWidth="true" style="0"/>
    <col min="9" max="9" width="8.453125" customWidth="true" style="0"/>
    <col min="10" max="10" width="31.453125" customWidth="true" style="0"/>
    <col min="11" max="11" width="3.54296875" customWidth="true" style="66"/>
    <col min="12" max="12" width="50.1796875" customWidth="true" style="0"/>
    <col min="13" max="13" width="4.1796875" customWidth="true" style="0"/>
  </cols>
  <sheetData>
    <row r="1" spans="1:18" customHeight="1" ht="23.25">
      <c r="B1" s="76" t="s">
        <v>61</v>
      </c>
      <c r="C1" s="77"/>
      <c r="D1" s="77"/>
      <c r="E1" s="77"/>
      <c r="F1" s="77"/>
      <c r="G1" s="77"/>
      <c r="H1" s="77"/>
      <c r="I1" s="94"/>
      <c r="J1" s="77"/>
      <c r="K1" s="95"/>
      <c r="L1" s="77"/>
      <c r="M1" s="77"/>
      <c r="N1" s="297">
        <v>5</v>
      </c>
      <c r="O1" s="298"/>
    </row>
    <row r="2" spans="1:18" customHeight="1" ht="23.25">
      <c r="B2" s="78" t="s">
        <v>62</v>
      </c>
      <c r="C2" s="77"/>
      <c r="D2" s="77"/>
      <c r="E2" s="77"/>
      <c r="F2" s="77"/>
      <c r="G2" s="77"/>
      <c r="H2" s="77"/>
      <c r="I2" s="94"/>
      <c r="J2" s="77"/>
      <c r="K2" s="95"/>
      <c r="L2" s="77"/>
      <c r="M2" s="77"/>
      <c r="N2" s="299"/>
      <c r="O2" s="300"/>
    </row>
    <row r="3" spans="1:18" customHeight="1" ht="18">
      <c r="B3" s="79"/>
      <c r="C3" s="79"/>
      <c r="D3" s="79"/>
      <c r="E3" s="79"/>
      <c r="F3" s="79"/>
      <c r="G3" s="79"/>
      <c r="H3" s="79"/>
      <c r="I3" s="96"/>
      <c r="J3" s="79"/>
      <c r="K3" s="97"/>
      <c r="L3" s="79"/>
      <c r="M3" s="79"/>
      <c r="N3" s="98"/>
      <c r="O3" s="98"/>
    </row>
    <row r="4" spans="1:18" customHeight="1" ht="20.15">
      <c r="B4" s="80" t="s">
        <v>63</v>
      </c>
      <c r="C4" s="81"/>
      <c r="D4" s="82"/>
      <c r="E4" s="80"/>
      <c r="F4" s="80"/>
      <c r="G4" s="80"/>
      <c r="H4" s="80"/>
      <c r="I4" s="81"/>
      <c r="J4" s="87"/>
      <c r="K4" s="84"/>
      <c r="L4" s="80"/>
      <c r="M4" s="99">
        <f>N1</f>
        <v>5</v>
      </c>
    </row>
    <row r="5" spans="1:18" customHeight="1" ht="23.25">
      <c r="B5" s="80" t="s">
        <v>64</v>
      </c>
      <c r="C5" s="81"/>
      <c r="D5" s="80"/>
      <c r="F5" s="83">
        <f>VLOOKUP($E$13,June!$A$9:$BB$20,2)</f>
        <v>0</v>
      </c>
      <c r="G5" s="80"/>
      <c r="H5" s="80"/>
      <c r="I5" s="80"/>
      <c r="J5" s="80" t="s">
        <v>65</v>
      </c>
      <c r="K5" s="81" t="s">
        <v>66</v>
      </c>
      <c r="L5" s="83" t="str">
        <f>June!AG2</f>
        <v>June 2026</v>
      </c>
    </row>
    <row r="6" spans="1:18" customHeight="1" ht="21">
      <c r="B6" s="80" t="s">
        <v>67</v>
      </c>
      <c r="C6" s="81"/>
      <c r="D6" s="80"/>
      <c r="F6" s="83">
        <f>VLOOKUP($E$13,June!$A$9:$BB$20,4)</f>
        <v>0</v>
      </c>
      <c r="G6" s="83"/>
      <c r="H6" s="83"/>
      <c r="I6" s="80"/>
      <c r="J6" s="80" t="s">
        <v>68</v>
      </c>
      <c r="K6" s="81" t="s">
        <v>66</v>
      </c>
      <c r="L6" s="83" t="str">
        <f>June!AG3</f>
        <v>22Mayr s/d 21 June 2026</v>
      </c>
    </row>
    <row r="7" spans="1:18" customHeight="1" ht="20.15">
      <c r="B7" s="80" t="s">
        <v>69</v>
      </c>
      <c r="C7" s="81"/>
      <c r="D7" s="80"/>
      <c r="F7" s="83">
        <f>VLOOKUP($E$13,June!$A$9:$BB$20,5)</f>
        <v>0</v>
      </c>
      <c r="G7" s="83"/>
      <c r="H7" s="83"/>
      <c r="I7" s="80"/>
      <c r="J7" s="80" t="s">
        <v>12</v>
      </c>
      <c r="K7" s="80" t="s">
        <v>66</v>
      </c>
      <c r="L7" s="86">
        <f>VLOOKUP($E$13,June!$A$9:$BF$20,9)</f>
        <v>0</v>
      </c>
    </row>
    <row r="8" spans="1:18" customHeight="1" ht="20.15">
      <c r="B8" s="80" t="s">
        <v>70</v>
      </c>
      <c r="E8" s="81" t="s">
        <v>66</v>
      </c>
      <c r="F8" s="83">
        <f>VLOOKUP($E$13,June!$A$9:$BB$20,8)</f>
        <v>0</v>
      </c>
      <c r="G8" s="83"/>
      <c r="H8" s="83"/>
      <c r="I8" s="80"/>
    </row>
    <row r="9" spans="1:18" customHeight="1" ht="27">
      <c r="B9" s="80"/>
      <c r="C9" s="80"/>
      <c r="D9" s="80"/>
      <c r="E9" s="80"/>
      <c r="F9" s="80"/>
      <c r="G9" s="80"/>
      <c r="H9" s="80"/>
      <c r="I9" s="80"/>
      <c r="J9" s="80"/>
      <c r="K9" s="84"/>
      <c r="L9" s="80"/>
    </row>
    <row r="10" spans="1:18" customHeight="1" ht="20.15">
      <c r="B10" s="80" t="s">
        <v>71</v>
      </c>
      <c r="C10" s="80"/>
      <c r="D10" s="80"/>
      <c r="E10" s="80"/>
      <c r="F10" s="84"/>
      <c r="G10" s="84"/>
      <c r="H10" s="105" t="s">
        <v>72</v>
      </c>
      <c r="I10" s="80"/>
      <c r="J10" s="80"/>
      <c r="K10" s="80"/>
      <c r="L10" s="84"/>
    </row>
    <row r="11" spans="1:18" customHeight="1" ht="20.15">
      <c r="B11" s="80"/>
      <c r="C11" s="80"/>
      <c r="D11" s="80"/>
      <c r="E11" s="80"/>
      <c r="F11" s="84"/>
      <c r="G11" s="84"/>
      <c r="H11" s="80"/>
      <c r="I11" s="80"/>
      <c r="J11" s="80"/>
      <c r="K11" s="80"/>
      <c r="L11" s="86"/>
    </row>
    <row r="12" spans="1:18" customHeight="1" ht="20.15">
      <c r="B12" s="80"/>
      <c r="C12" s="85">
        <v>1</v>
      </c>
      <c r="D12" s="80" t="s">
        <v>73</v>
      </c>
      <c r="E12" s="81" t="s">
        <v>66</v>
      </c>
      <c r="F12" s="86">
        <f>VLOOKUP($E$13,June!$A$9:$BF$20,24)</f>
        <v>0</v>
      </c>
      <c r="G12" s="84"/>
      <c r="H12" s="80"/>
      <c r="I12" s="80">
        <f>C27+1</f>
        <v>1</v>
      </c>
      <c r="J12" s="105" t="s">
        <v>74</v>
      </c>
      <c r="K12" s="105" t="s">
        <v>66</v>
      </c>
      <c r="L12" s="86">
        <f>VLOOKUP($E$13,June!$A$9:$BF$20,42)</f>
        <v>0</v>
      </c>
      <c r="O12" s="100"/>
      <c r="P12" s="100"/>
      <c r="Q12" s="94"/>
      <c r="R12" s="100"/>
    </row>
    <row r="13" spans="1:18" customHeight="1" ht="20.15">
      <c r="B13" s="80"/>
      <c r="C13" s="80"/>
      <c r="D13" s="81"/>
      <c r="E13" s="87">
        <f>N1</f>
        <v>5</v>
      </c>
      <c r="F13" s="86"/>
      <c r="G13" s="84"/>
      <c r="H13" s="80"/>
      <c r="I13" s="80"/>
      <c r="J13" s="105"/>
      <c r="K13" s="105"/>
      <c r="L13" s="86"/>
      <c r="O13" s="100"/>
      <c r="P13" s="100"/>
      <c r="Q13" s="94"/>
      <c r="R13" s="100"/>
    </row>
    <row r="14" spans="1:18" customHeight="1" ht="20.15">
      <c r="B14" s="80" t="s">
        <v>75</v>
      </c>
      <c r="C14" s="80"/>
      <c r="D14" s="80"/>
      <c r="E14" s="80"/>
      <c r="F14" s="86"/>
      <c r="G14" s="84"/>
      <c r="H14" s="80"/>
      <c r="I14" s="80">
        <v>2</v>
      </c>
      <c r="J14" s="105" t="s">
        <v>76</v>
      </c>
      <c r="K14" s="105" t="s">
        <v>66</v>
      </c>
      <c r="L14" s="86"/>
      <c r="O14" s="100"/>
      <c r="P14" s="100"/>
      <c r="Q14" s="94"/>
      <c r="R14" s="100"/>
    </row>
    <row r="15" spans="1:18" customHeight="1" ht="20.15">
      <c r="B15" s="80"/>
      <c r="C15" s="88">
        <v>2</v>
      </c>
      <c r="D15" s="89" t="s">
        <v>77</v>
      </c>
      <c r="E15" s="90" t="s">
        <v>66</v>
      </c>
      <c r="F15" s="91"/>
      <c r="G15" s="92"/>
      <c r="H15" s="80"/>
      <c r="I15" s="80"/>
      <c r="J15" s="80" t="s">
        <v>78</v>
      </c>
      <c r="K15" s="105" t="s">
        <v>66</v>
      </c>
      <c r="L15" s="86">
        <f>VLOOKUP($E$13,June!$A$9:$BF$20,46)</f>
        <v>0</v>
      </c>
      <c r="O15" s="100"/>
      <c r="P15" s="100"/>
      <c r="Q15" s="94"/>
      <c r="R15" s="100"/>
    </row>
    <row r="16" spans="1:18" customHeight="1" ht="20.15">
      <c r="B16" s="80"/>
      <c r="C16" s="85">
        <v>2</v>
      </c>
      <c r="D16" s="80" t="s">
        <v>79</v>
      </c>
      <c r="E16" s="81" t="s">
        <v>66</v>
      </c>
      <c r="F16" s="86">
        <f>VLOOKUP($E$13,June!$A$9:$BF$20,40)</f>
        <v>0</v>
      </c>
      <c r="G16" s="93"/>
      <c r="H16" s="93"/>
      <c r="I16" s="93"/>
      <c r="J16" s="80" t="s">
        <v>80</v>
      </c>
      <c r="K16" s="105" t="s">
        <v>66</v>
      </c>
      <c r="L16" s="86">
        <f>VLOOKUP($E$13,June!$A$9:$BF$20,43)+VLOOKUP($E$13,June!$A$9:$BF$20,47)</f>
        <v>0</v>
      </c>
      <c r="O16" s="100"/>
      <c r="P16" s="100"/>
      <c r="Q16" s="94"/>
      <c r="R16" s="100"/>
    </row>
    <row r="17" spans="1:18" customHeight="1" ht="20.15">
      <c r="B17" s="80"/>
      <c r="C17" s="85">
        <f>C16+1</f>
        <v>3</v>
      </c>
      <c r="D17" s="80" t="s">
        <v>81</v>
      </c>
      <c r="E17" s="81" t="s">
        <v>66</v>
      </c>
      <c r="F17" s="86">
        <f>VLOOKUP($E$13,June!$A$9:$BF$20,25)</f>
        <v>0</v>
      </c>
      <c r="G17" s="93"/>
      <c r="H17" s="93"/>
      <c r="I17" s="237">
        <v>3</v>
      </c>
      <c r="J17" s="105" t="s">
        <v>82</v>
      </c>
      <c r="K17" s="105" t="s">
        <v>66</v>
      </c>
      <c r="L17" s="86">
        <f>F16</f>
        <v>0</v>
      </c>
      <c r="O17" s="100"/>
      <c r="Q17" s="94"/>
      <c r="R17" s="100"/>
    </row>
    <row r="18" spans="1:18" customHeight="1" ht="20.15">
      <c r="B18" s="80"/>
      <c r="C18" s="85">
        <f>C17+1</f>
        <v>4</v>
      </c>
      <c r="D18" s="80" t="s">
        <v>83</v>
      </c>
      <c r="E18" s="81" t="s">
        <v>66</v>
      </c>
      <c r="F18" s="86">
        <f>VLOOKUP($E$13,June!$A$9:$BF$20,26)</f>
        <v>0</v>
      </c>
      <c r="G18" s="93"/>
      <c r="H18" s="93"/>
      <c r="I18" s="237"/>
      <c r="J18" s="80"/>
      <c r="K18" s="80"/>
      <c r="L18" s="86"/>
      <c r="N18" s="101"/>
      <c r="O18" s="100"/>
      <c r="P18" s="100"/>
      <c r="Q18" s="94"/>
      <c r="R18" s="100"/>
    </row>
    <row r="19" spans="1:18" customHeight="1" ht="20.15">
      <c r="B19" s="80"/>
      <c r="C19" s="85">
        <f>C18+1</f>
        <v>5</v>
      </c>
      <c r="D19" s="80" t="s">
        <v>84</v>
      </c>
      <c r="E19" s="81" t="s">
        <v>66</v>
      </c>
      <c r="F19" s="86">
        <f>VLOOKUP($E$13,June!$A$9:$BF$20,31)</f>
        <v>0</v>
      </c>
      <c r="G19" s="93"/>
      <c r="H19" s="93"/>
      <c r="I19" s="237"/>
      <c r="J19" s="80"/>
      <c r="K19" s="84"/>
      <c r="L19" s="102"/>
      <c r="N19" s="101"/>
      <c r="O19" s="100"/>
      <c r="P19" s="100"/>
      <c r="Q19" s="94"/>
      <c r="R19" s="100"/>
    </row>
    <row r="20" spans="1:18" customHeight="1" ht="20.15">
      <c r="B20" s="80"/>
      <c r="C20" s="85">
        <f>C19+1</f>
        <v>6</v>
      </c>
      <c r="D20" s="80" t="s">
        <v>37</v>
      </c>
      <c r="E20" s="81" t="s">
        <v>66</v>
      </c>
      <c r="F20" s="86">
        <f>VLOOKUP($E$13,June!$A$9:$BF$20,27)</f>
        <v>2000000</v>
      </c>
      <c r="G20" s="93"/>
      <c r="H20" s="93"/>
      <c r="I20" s="237">
        <v>4</v>
      </c>
      <c r="J20" s="105" t="s">
        <v>85</v>
      </c>
      <c r="K20" s="105" t="s">
        <v>66</v>
      </c>
      <c r="L20" s="86">
        <f>VLOOKUP($E$13,June!$A$9:$BF$20,45)</f>
        <v>0</v>
      </c>
      <c r="M20" s="100"/>
    </row>
    <row r="21" spans="1:18" customHeight="1" ht="20.15">
      <c r="B21" s="80"/>
      <c r="C21" s="85">
        <f>C20+1</f>
        <v>7</v>
      </c>
      <c r="D21" s="80" t="s">
        <v>38</v>
      </c>
      <c r="E21" s="81" t="s">
        <v>66</v>
      </c>
      <c r="F21" s="86">
        <f>VLOOKUP($E$13,June!$A$9:$BF$20,28)</f>
        <v>0</v>
      </c>
      <c r="G21" s="93"/>
      <c r="H21" s="93"/>
      <c r="I21" s="237">
        <v>5</v>
      </c>
      <c r="J21" s="105" t="s">
        <v>86</v>
      </c>
      <c r="K21" s="105" t="s">
        <v>66</v>
      </c>
      <c r="L21" s="86">
        <v>0</v>
      </c>
      <c r="M21" s="100"/>
    </row>
    <row r="22" spans="1:18" customHeight="1" ht="20.15">
      <c r="B22" s="80"/>
      <c r="C22" s="85">
        <f>C21+1</f>
        <v>8</v>
      </c>
      <c r="D22" s="80" t="s">
        <v>87</v>
      </c>
      <c r="E22" s="81" t="s">
        <v>66</v>
      </c>
      <c r="F22" s="86">
        <f>VLOOKUP($E$13,June!$A$9:$BF$20,29)</f>
        <v>0</v>
      </c>
      <c r="G22" s="93"/>
      <c r="H22" s="93"/>
      <c r="I22" s="93"/>
      <c r="J22" s="80"/>
      <c r="K22" s="84"/>
      <c r="L22" s="103"/>
      <c r="M22" s="100"/>
    </row>
    <row r="23" spans="1:18" customHeight="1" ht="20.15">
      <c r="B23" s="80"/>
      <c r="C23" s="85">
        <f>C22+1</f>
        <v>9</v>
      </c>
      <c r="D23" s="80" t="s">
        <v>40</v>
      </c>
      <c r="E23" s="81" t="s">
        <v>66</v>
      </c>
      <c r="F23" s="86">
        <f>VLOOKUP($E$13,June!$A$9:$BF$20,30)</f>
        <v>4000000</v>
      </c>
      <c r="G23" s="93"/>
      <c r="H23" s="93"/>
      <c r="I23" s="93"/>
      <c r="J23" s="80"/>
      <c r="K23" s="84"/>
      <c r="L23" s="103"/>
      <c r="M23" s="100"/>
    </row>
    <row r="24" spans="1:18" customHeight="1" ht="20.15">
      <c r="B24" s="80"/>
      <c r="C24" s="85">
        <f>C23+1</f>
        <v>10</v>
      </c>
      <c r="D24" s="80" t="s">
        <v>88</v>
      </c>
      <c r="E24" s="81" t="s">
        <v>66</v>
      </c>
      <c r="F24" s="86">
        <f>VLOOKUP($E$13,June!$A$9:$BF$20,32)</f>
        <v>0</v>
      </c>
      <c r="G24" s="93"/>
      <c r="H24" s="93"/>
      <c r="I24" s="93"/>
      <c r="J24" s="80"/>
      <c r="K24" s="84"/>
      <c r="L24" s="102"/>
      <c r="M24" s="100"/>
    </row>
    <row r="25" spans="1:18" customHeight="1" ht="20.15">
      <c r="B25" s="80"/>
      <c r="C25" s="85">
        <f>C24+1</f>
        <v>11</v>
      </c>
      <c r="D25" s="80" t="s">
        <v>89</v>
      </c>
      <c r="E25" s="106" t="s">
        <v>66</v>
      </c>
      <c r="F25" s="86">
        <f>VLOOKUP($E$13,June!$A$9:$BF$20,37)</f>
        <v>0</v>
      </c>
      <c r="G25" s="93"/>
      <c r="H25" s="93"/>
      <c r="I25" s="93"/>
      <c r="J25" s="80"/>
      <c r="K25" s="84"/>
      <c r="L25" s="102"/>
      <c r="M25" s="100"/>
    </row>
    <row r="26" spans="1:18" customHeight="1" ht="20.15">
      <c r="B26" s="80"/>
      <c r="C26" s="85">
        <f>C25+1</f>
        <v>12</v>
      </c>
      <c r="D26" s="80" t="s">
        <v>77</v>
      </c>
      <c r="E26" s="81" t="s">
        <v>66</v>
      </c>
      <c r="F26" s="86">
        <f>VLOOKUP($E$13,June!$A$9:$BF$20,38)</f>
        <v>0</v>
      </c>
      <c r="G26" s="93"/>
      <c r="H26" s="93"/>
      <c r="I26" s="93"/>
      <c r="J26" s="80"/>
      <c r="K26" s="84"/>
      <c r="L26" s="102"/>
      <c r="M26" s="100"/>
    </row>
    <row r="27" spans="1:18" customHeight="1" ht="20.15">
      <c r="B27" s="80"/>
      <c r="C27" s="85"/>
      <c r="D27" s="80"/>
      <c r="E27" s="81"/>
      <c r="F27" s="86"/>
      <c r="G27" s="93"/>
      <c r="H27" s="93"/>
      <c r="I27" s="93"/>
      <c r="J27" s="80"/>
      <c r="K27" s="84"/>
      <c r="L27" s="103"/>
      <c r="M27" s="100"/>
    </row>
    <row r="28" spans="1:18" customHeight="1" ht="20.15">
      <c r="B28" s="80"/>
      <c r="C28" s="80"/>
      <c r="D28" s="80"/>
      <c r="E28" s="80"/>
      <c r="F28" s="86"/>
      <c r="G28" s="84"/>
      <c r="H28" s="80"/>
      <c r="I28" s="80"/>
      <c r="J28" s="80"/>
      <c r="K28" s="84"/>
      <c r="L28" s="103"/>
      <c r="M28" s="100"/>
    </row>
    <row r="29" spans="1:18" customHeight="1" ht="20.15">
      <c r="B29" s="80"/>
      <c r="C29" s="105" t="s">
        <v>90</v>
      </c>
      <c r="D29" s="80"/>
      <c r="E29" s="105" t="s">
        <v>66</v>
      </c>
      <c r="F29" s="86">
        <f>SUM(F12:F28)</f>
        <v>6000000</v>
      </c>
      <c r="G29" s="84"/>
      <c r="H29" s="105" t="s">
        <v>91</v>
      </c>
      <c r="I29" s="80"/>
      <c r="J29" s="80"/>
      <c r="K29" s="105" t="s">
        <v>66</v>
      </c>
      <c r="L29" s="86">
        <f>F29-(SUM(L12:L21))</f>
        <v>6000000</v>
      </c>
      <c r="M29" s="100"/>
    </row>
    <row r="30" spans="1:18" customHeight="1" ht="3.75" s="75" customFormat="1">
      <c r="K30" s="104"/>
    </row>
    <row r="31" spans="1:18" customHeight="1" ht="20.15"/>
    <row r="32" spans="1:18" customHeight="1" ht="20.15"/>
    <row r="33" spans="1:18" customHeight="1" ht="20.15"/>
    <row r="34" spans="1:18" customHeight="1" ht="20.15"/>
    <row r="35" spans="1:18" customHeight="1" ht="20.15"/>
    <row r="36" spans="1:18" customHeight="1" ht="20.15"/>
    <row r="37" spans="1:18" customHeight="1" ht="20.15"/>
    <row r="38" spans="1:18" customHeight="1" ht="20.15"/>
    <row r="39" spans="1:18" customHeight="1" ht="20.15"/>
    <row r="40" spans="1:18" customHeight="1" ht="20.15"/>
    <row r="41" spans="1:18" customHeight="1" ht="20.15"/>
    <row r="42" spans="1:18" customHeight="1" ht="20.15"/>
    <row r="43" spans="1:18" customHeight="1" ht="20.15"/>
    <row r="44" spans="1:18" customHeight="1" ht="20.15"/>
    <row r="45" spans="1:18" customHeight="1" ht="20.15"/>
    <row r="46" spans="1:18" customHeight="1" ht="20.15"/>
    <row r="47" spans="1:18" customHeight="1" ht="20.15"/>
    <row r="48" spans="1:18" customHeight="1" ht="20.15"/>
    <row r="49" spans="1:18" customHeight="1" ht="20.15"/>
    <row r="50" spans="1:18" customHeight="1" ht="20.15"/>
    <row r="51" spans="1:18" customHeight="1" ht="20.15"/>
    <row r="52" spans="1:18" customHeight="1" ht="20.15"/>
    <row r="53" spans="1:18" customHeight="1" ht="20.15"/>
    <row r="54" spans="1:18" customHeight="1" ht="20.15"/>
    <row r="55" spans="1:18" customHeight="1" ht="20.15"/>
    <row r="56" spans="1:18" customHeight="1" ht="20.15"/>
    <row r="57" spans="1:18" customHeight="1" ht="20.15"/>
    <row r="58" spans="1:18" customHeight="1" ht="20.15"/>
    <row r="59" spans="1:18" customHeight="1" ht="20.15"/>
    <row r="60" spans="1:18" customHeight="1" ht="20.15"/>
    <row r="61" spans="1:18" customHeight="1" ht="20.15"/>
    <row r="62" spans="1:18" customHeight="1" ht="20.15"/>
    <row r="63" spans="1:18" customHeight="1" ht="20.15"/>
    <row r="64" spans="1:18" customHeight="1" ht="20.15"/>
    <row r="65" spans="1:18" customHeight="1" ht="20.15"/>
    <row r="66" spans="1:18" customHeight="1" ht="20.15"/>
    <row r="67" spans="1:18" customHeight="1" ht="20.15"/>
    <row r="68" spans="1:18" customHeight="1" ht="20.15"/>
    <row r="69" spans="1:18" customHeight="1" ht="20.15"/>
    <row r="70" spans="1:18" customHeight="1" ht="20.15"/>
    <row r="71" spans="1:18" customHeight="1" ht="20.15"/>
    <row r="72" spans="1:18" customHeight="1" ht="20.15"/>
    <row r="73" spans="1:18" customHeight="1" ht="20.15"/>
    <row r="74" spans="1:18" customHeight="1" ht="20.15"/>
    <row r="75" spans="1:18" customHeight="1" ht="20.15"/>
    <row r="76" spans="1:18" customHeight="1" ht="20.15"/>
    <row r="77" spans="1:18" customHeight="1" ht="20.15"/>
    <row r="78" spans="1:18" customHeight="1" ht="20.15"/>
    <row r="79" spans="1:18" customHeight="1" ht="20.15"/>
    <row r="80" spans="1:18" customHeight="1" ht="20.15"/>
    <row r="81" spans="1:18" customHeight="1" ht="20.15"/>
    <row r="82" spans="1:18" customHeight="1" ht="20.15"/>
    <row r="83" spans="1:18" customHeight="1" ht="20.15"/>
    <row r="84" spans="1:18" customHeight="1" ht="20.15"/>
    <row r="85" spans="1:18" customHeight="1" ht="20.15"/>
    <row r="86" spans="1:18" customHeight="1" ht="20.15"/>
    <row r="87" spans="1:18" customHeight="1" ht="20.15"/>
    <row r="88" spans="1:18" customHeight="1" ht="20.15"/>
    <row r="89" spans="1:18" customHeight="1" ht="20.15"/>
    <row r="90" spans="1:18" customHeight="1" ht="20.15"/>
    <row r="91" spans="1:18" customHeight="1" ht="20.15"/>
    <row r="92" spans="1:18" customHeight="1" ht="20.15"/>
    <row r="93" spans="1:18" customHeight="1" ht="20.15"/>
    <row r="94" spans="1:18" customHeight="1" ht="20.15"/>
    <row r="95" spans="1:18" customHeight="1" ht="20.15"/>
    <row r="96" spans="1:18" customHeight="1" ht="20.15"/>
    <row r="97" spans="1:18" customHeight="1" ht="20.15"/>
    <row r="98" spans="1:18" customHeight="1" ht="20.15"/>
    <row r="99" spans="1:18" customHeight="1" ht="20.15"/>
    <row r="100" spans="1:18" customHeight="1" ht="20.15"/>
    <row r="101" spans="1:18" customHeight="1" ht="20.15"/>
    <row r="102" spans="1:18" customHeight="1" ht="20.15"/>
    <row r="103" spans="1:18" customHeight="1" ht="20.15"/>
    <row r="104" spans="1:18" customHeight="1" ht="20.15"/>
    <row r="105" spans="1:18" customHeight="1" ht="20.15"/>
    <row r="106" spans="1:18" customHeight="1" ht="20.15"/>
    <row r="107" spans="1:18" customHeight="1" ht="20.15"/>
    <row r="108" spans="1:18" customHeight="1" ht="20.15"/>
    <row r="109" spans="1:18" customHeight="1" ht="20.15"/>
    <row r="110" spans="1:18" customHeight="1" ht="20.15"/>
    <row r="111" spans="1:18" customHeight="1" ht="20.15"/>
    <row r="112" spans="1:18" customHeight="1" ht="20.15"/>
    <row r="113" spans="1:18" customHeight="1" ht="20.15"/>
    <row r="114" spans="1:18" customHeight="1" ht="20.15"/>
    <row r="115" spans="1:18" customHeight="1" ht="20.15"/>
    <row r="116" spans="1:18" customHeight="1" ht="20.15"/>
    <row r="117" spans="1:18" customHeight="1" ht="20.15"/>
    <row r="118" spans="1:18" customHeight="1" ht="20.15"/>
    <row r="119" spans="1:18" customHeight="1" ht="20.15"/>
    <row r="120" spans="1:18" customHeight="1" ht="20.15"/>
    <row r="121" spans="1:18" customHeight="1" ht="20.15"/>
    <row r="122" spans="1:18" customHeight="1" ht="20.15"/>
    <row r="123" spans="1:18" customHeight="1" ht="20.15"/>
    <row r="124" spans="1:18" customHeight="1" ht="20.15"/>
    <row r="125" spans="1:18" customHeight="1" ht="20.15"/>
    <row r="126" spans="1:18" customHeight="1" ht="20.15"/>
    <row r="127" spans="1:18" customHeight="1" ht="20.15"/>
    <row r="128" spans="1:18" customHeight="1" ht="20.15"/>
    <row r="129" spans="1:18" customHeight="1" ht="20.15"/>
    <row r="130" spans="1:18" customHeight="1" ht="20.15"/>
    <row r="131" spans="1:18" customHeight="1" ht="20.15"/>
    <row r="132" spans="1:18" customHeight="1" ht="20.15"/>
    <row r="133" spans="1:18" customHeight="1" ht="20.15"/>
    <row r="134" spans="1:18" customHeight="1" ht="20.15"/>
    <row r="135" spans="1:18" customHeight="1" ht="20.15"/>
    <row r="136" spans="1:18" customHeight="1" ht="20.15"/>
    <row r="137" spans="1:18" customHeight="1" ht="20.15"/>
    <row r="138" spans="1:18" customHeight="1" ht="20.15"/>
    <row r="139" spans="1:18" customHeight="1" ht="20.15"/>
    <row r="140" spans="1:18" customHeight="1" ht="20.15"/>
    <row r="141" spans="1:18" customHeight="1" ht="20.15"/>
    <row r="142" spans="1:18" customHeight="1" ht="20.15"/>
    <row r="143" spans="1:18" customHeight="1" ht="20.15"/>
    <row r="144" spans="1:18" customHeight="1" ht="20.15"/>
    <row r="145" spans="1:18" customHeight="1" ht="20.15"/>
    <row r="146" spans="1:18" customHeight="1" ht="20.15"/>
    <row r="147" spans="1:18" customHeight="1" ht="20.15"/>
    <row r="148" spans="1:18" customHeight="1" ht="20.15"/>
    <row r="149" spans="1:18" customHeight="1" ht="20.15"/>
    <row r="150" spans="1:18" customHeight="1" ht="20.15"/>
    <row r="151" spans="1:18" customHeight="1" ht="20.15"/>
    <row r="152" spans="1:18" customHeight="1" ht="20.15"/>
    <row r="153" spans="1:18" customHeight="1" ht="20.15"/>
    <row r="154" spans="1:18" customHeight="1" ht="20.15"/>
    <row r="155" spans="1:18" customHeight="1" ht="20.15"/>
    <row r="156" spans="1:18" customHeight="1" ht="20.15"/>
    <row r="157" spans="1:18" customHeight="1" ht="20.15"/>
    <row r="158" spans="1:18" customHeight="1" ht="20.15"/>
    <row r="159" spans="1:18" customHeight="1" ht="20.15"/>
    <row r="160" spans="1:18" customHeight="1" ht="20.15"/>
    <row r="161" spans="1:18" customHeight="1" ht="20.15"/>
    <row r="162" spans="1:18" customHeight="1" ht="20.15"/>
    <row r="163" spans="1:18" customHeight="1" ht="20.15"/>
    <row r="164" spans="1:18" customHeight="1" ht="20.15"/>
    <row r="165" spans="1:18" customHeight="1" ht="20.15"/>
    <row r="166" spans="1:18" customHeight="1" ht="20.15"/>
    <row r="167" spans="1:18" customHeight="1" ht="20.15"/>
    <row r="168" spans="1:18" customHeight="1" ht="20.15"/>
    <row r="169" spans="1:18" customHeight="1" ht="20.15"/>
    <row r="170" spans="1:18" customHeight="1" ht="20.15"/>
    <row r="171" spans="1:18" customHeight="1" ht="20.15"/>
    <row r="172" spans="1:18" customHeight="1" ht="20.15"/>
    <row r="173" spans="1:18" customHeight="1" ht="20.15"/>
    <row r="174" spans="1:18" customHeight="1" ht="20.15"/>
    <row r="175" spans="1:18" customHeight="1" ht="20.15"/>
    <row r="176" spans="1:18" customHeight="1" ht="20.15"/>
    <row r="177" spans="1:18" customHeight="1" ht="20.15"/>
    <row r="178" spans="1:18" customHeight="1" ht="20.15"/>
    <row r="179" spans="1:18" customHeight="1" ht="20.15"/>
    <row r="180" spans="1:18" customHeight="1" ht="20.15"/>
    <row r="181" spans="1:18" customHeight="1" ht="20.15"/>
    <row r="182" spans="1:18" customHeight="1" ht="20.15"/>
    <row r="183" spans="1:18" customHeight="1" ht="20.15"/>
    <row r="184" spans="1:18" customHeight="1" ht="20.15"/>
    <row r="185" spans="1:18" customHeight="1" ht="20.15"/>
    <row r="186" spans="1:18" customHeight="1" ht="20.15"/>
    <row r="187" spans="1:18" customHeight="1" ht="20.15"/>
    <row r="188" spans="1:18" customHeight="1" ht="20.15"/>
    <row r="189" spans="1:18" customHeight="1" ht="20.15"/>
    <row r="190" spans="1:18" customHeight="1" ht="20.15"/>
    <row r="191" spans="1:18" customHeight="1" ht="20.15"/>
    <row r="192" spans="1:18" customHeight="1" ht="20.15"/>
    <row r="193" spans="1:18" customHeight="1" ht="20.15"/>
    <row r="194" spans="1:18" customHeight="1" ht="20.15"/>
    <row r="195" spans="1:18" customHeight="1" ht="20.15"/>
    <row r="196" spans="1:18" customHeight="1" ht="20.15"/>
    <row r="197" spans="1:18" customHeight="1" ht="20.15"/>
    <row r="198" spans="1:18" customHeight="1" ht="20.15"/>
    <row r="199" spans="1:18" customHeight="1" ht="20.15"/>
    <row r="200" spans="1:18" customHeight="1" ht="20.15"/>
    <row r="201" spans="1:18" customHeight="1" ht="20.15"/>
    <row r="202" spans="1:18" customHeight="1" ht="20.15"/>
    <row r="203" spans="1:18" customHeight="1" ht="20.15"/>
    <row r="204" spans="1:18" customHeight="1" ht="20.15"/>
    <row r="205" spans="1:18" customHeight="1" ht="20.15"/>
    <row r="206" spans="1:18" customHeight="1" ht="20.15"/>
    <row r="207" spans="1:18" customHeight="1" ht="20.15"/>
    <row r="208" spans="1:18" customHeight="1" ht="20.15"/>
    <row r="209" spans="1:18" customHeight="1" ht="20.15"/>
    <row r="210" spans="1:18" customHeight="1" ht="20.15"/>
    <row r="211" spans="1:18" customHeight="1" ht="20.15"/>
    <row r="212" spans="1:18" customHeight="1" ht="20.15"/>
    <row r="213" spans="1:18" customHeight="1" ht="20.15"/>
    <row r="214" spans="1:18" customHeight="1" ht="20.15"/>
    <row r="215" spans="1:18" customHeight="1" ht="20.15"/>
    <row r="216" spans="1:18" customHeight="1" ht="20.15"/>
    <row r="217" spans="1:18" customHeight="1" ht="20.15"/>
    <row r="218" spans="1:18" customHeight="1" ht="20.15"/>
    <row r="219" spans="1:18" customHeight="1" ht="20.15"/>
    <row r="220" spans="1:18" customHeight="1" ht="20.15"/>
    <row r="221" spans="1:18" customHeight="1" ht="20.15"/>
    <row r="222" spans="1:18" customHeight="1" ht="20.15"/>
  </sheetData>
  <mergeCells>
    <mergeCell ref="N1:O2"/>
  </mergeCells>
  <printOptions gridLines="false" gridLinesSet="true" horizontalCentered="true"/>
  <pageMargins left="0.25" right="0.25" top="0.2" bottom="0.19685039370079" header="0.31496062992126" footer="0.31496062992126"/>
  <pageSetup paperSize="141" orientation="portrait" scale="55" fitToHeight="1" fitToWidth="1" pageOrder="downThenOver" r:id="rId1ps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E42"/>
  <sheetViews>
    <sheetView tabSelected="0" workbookViewId="0" showGridLines="true" showRowColHeaders="1" topLeftCell="A20">
      <selection activeCell="I26" sqref="I26"/>
    </sheetView>
  </sheetViews>
  <sheetFormatPr defaultRowHeight="14.4" defaultColWidth="9" outlineLevelRow="0" outlineLevelCol="0"/>
  <cols>
    <col min="1" max="1" width="8.54296875" customWidth="true" style="0"/>
    <col min="2" max="2" width="3" customWidth="true" style="0"/>
    <col min="3" max="3" width="1.453125" customWidth="true" style="0"/>
    <col min="4" max="4" width="3.54296875" customWidth="true" style="0"/>
    <col min="5" max="5" width="4.54296875" customWidth="true" style="0"/>
    <col min="7" max="7" width="15" customWidth="true" style="0"/>
    <col min="8" max="8" width="12.81640625" customWidth="true" style="0"/>
    <col min="9" max="9" width="14.453125" customWidth="true" style="0"/>
    <col min="10" max="10" width="17.54296875" customWidth="true" style="0"/>
    <col min="11" max="11" width="10.453125" customWidth="true" style="0"/>
    <col min="12" max="12" width="5.54296875" customWidth="true" style="0"/>
    <col min="13" max="13" width="15.453125" customWidth="true" style="0"/>
    <col min="14" max="14" width="12.453125" customWidth="true" style="0"/>
    <col min="15" max="15" width="14" customWidth="true" style="0"/>
    <col min="16" max="16" width="13.1796875" customWidth="true" style="0"/>
    <col min="17" max="17" width="13" customWidth="true" style="0"/>
    <col min="18" max="18" width="13.453125" customWidth="true" style="0"/>
    <col min="19" max="19" width="11.453125" customWidth="true" style="0"/>
    <col min="20" max="20" width="11.453125" customWidth="true" style="0"/>
    <col min="21" max="21" width="13" customWidth="true" style="0"/>
    <col min="22" max="22" width="13" customWidth="true" style="0"/>
    <col min="23" max="23" width="17.54296875" customWidth="true" style="0"/>
    <col min="24" max="24" width="14.453125" customWidth="true" style="0"/>
    <col min="25" max="25" width="11.54296875" customWidth="true" style="0"/>
    <col min="26" max="26" width="13.54296875" customWidth="true" style="0"/>
  </cols>
  <sheetData>
    <row r="3" spans="1:31" customHeight="1" ht="6.75">
      <c r="B3" s="3"/>
      <c r="C3" s="4"/>
      <c r="D3" s="5"/>
      <c r="E3" s="6"/>
      <c r="F3" s="6"/>
      <c r="G3" s="6"/>
      <c r="H3" s="6"/>
      <c r="I3" s="43"/>
      <c r="J3" s="43"/>
      <c r="K3" s="44"/>
    </row>
    <row r="4" spans="1:31" customHeight="1" ht="13">
      <c r="B4" s="7"/>
      <c r="C4" s="8"/>
      <c r="D4" s="2"/>
      <c r="E4" s="9"/>
      <c r="F4" s="9"/>
      <c r="G4" s="9"/>
      <c r="H4" s="9"/>
      <c r="I4" s="45"/>
      <c r="J4" s="45"/>
      <c r="K4" s="46"/>
    </row>
    <row r="5" spans="1:31" customHeight="1" ht="13">
      <c r="B5" s="7"/>
      <c r="C5" s="8"/>
      <c r="D5" s="10" t="s">
        <v>1</v>
      </c>
      <c r="E5" s="9"/>
      <c r="F5" s="9"/>
      <c r="G5" s="9"/>
      <c r="H5" s="9"/>
      <c r="I5" s="45"/>
      <c r="J5" s="45"/>
      <c r="K5" s="46"/>
    </row>
    <row r="6" spans="1:31" customHeight="1" ht="7.5">
      <c r="B6" s="7"/>
      <c r="C6" s="8"/>
      <c r="D6" s="2"/>
      <c r="E6" s="9"/>
      <c r="F6" s="9"/>
      <c r="G6" s="9"/>
      <c r="H6" s="9"/>
      <c r="I6" s="45"/>
      <c r="J6" s="45"/>
      <c r="K6" s="46"/>
    </row>
    <row r="7" spans="1:31" customHeight="1" ht="15.5">
      <c r="B7" s="301" t="s">
        <v>92</v>
      </c>
      <c r="C7" s="302"/>
      <c r="D7" s="302"/>
      <c r="E7" s="302"/>
      <c r="F7" s="302"/>
      <c r="G7" s="302"/>
      <c r="H7" s="302"/>
      <c r="I7" s="302"/>
      <c r="J7" s="302"/>
      <c r="K7" s="303"/>
    </row>
    <row r="8" spans="1:31" customHeight="1" ht="15.5">
      <c r="B8" s="301" t="s">
        <v>93</v>
      </c>
      <c r="C8" s="302"/>
      <c r="D8" s="302"/>
      <c r="E8" s="302"/>
      <c r="F8" s="302"/>
      <c r="G8" s="302"/>
      <c r="H8" s="302"/>
      <c r="I8" s="302"/>
      <c r="J8" s="302"/>
      <c r="K8" s="303"/>
    </row>
    <row r="9" spans="1:31" customHeight="1" ht="6.75">
      <c r="B9" s="11"/>
      <c r="C9" s="12"/>
      <c r="D9" s="12"/>
      <c r="E9" s="12"/>
      <c r="F9" s="12"/>
      <c r="G9" s="12"/>
      <c r="H9" s="12"/>
      <c r="I9" s="47"/>
      <c r="J9" s="47"/>
      <c r="K9" s="48"/>
    </row>
    <row r="10" spans="1:31" customHeight="1" ht="8.25">
      <c r="B10" s="7"/>
      <c r="C10" s="8"/>
      <c r="D10" s="8"/>
      <c r="E10" s="8"/>
      <c r="F10" s="8"/>
      <c r="G10" s="8"/>
      <c r="H10" s="8"/>
      <c r="I10" s="45"/>
      <c r="J10" s="45"/>
      <c r="K10" s="46"/>
    </row>
    <row r="11" spans="1:31">
      <c r="B11" s="7"/>
      <c r="C11" s="8"/>
      <c r="D11" s="8"/>
      <c r="E11" s="8"/>
      <c r="F11" s="8"/>
      <c r="G11" s="8"/>
      <c r="H11" s="8"/>
      <c r="I11" s="45"/>
      <c r="J11" s="45"/>
      <c r="K11" s="46"/>
    </row>
    <row r="12" spans="1:31" customHeight="1" ht="18.75" s="1" customFormat="1">
      <c r="B12" s="13"/>
      <c r="C12" s="14"/>
      <c r="D12" s="15"/>
      <c r="E12" s="304" t="s">
        <v>8</v>
      </c>
      <c r="F12" s="306" t="s">
        <v>94</v>
      </c>
      <c r="G12" s="307"/>
      <c r="H12" s="308"/>
      <c r="I12" s="16" t="s">
        <v>95</v>
      </c>
      <c r="J12" s="49" t="s">
        <v>96</v>
      </c>
      <c r="K12" s="50"/>
    </row>
    <row r="13" spans="1:31" customHeight="1" ht="17.25" s="1" customFormat="1">
      <c r="B13" s="13"/>
      <c r="C13" s="14"/>
      <c r="D13" s="15"/>
      <c r="E13" s="305"/>
      <c r="F13" s="309"/>
      <c r="G13" s="310"/>
      <c r="H13" s="311"/>
      <c r="I13" s="17"/>
      <c r="J13" s="17" t="s">
        <v>97</v>
      </c>
      <c r="K13" s="50"/>
    </row>
    <row r="14" spans="1:31" customHeight="1" ht="11.25" s="1" customFormat="1">
      <c r="B14" s="13"/>
      <c r="C14" s="14"/>
      <c r="D14" s="15"/>
      <c r="E14" s="18"/>
      <c r="F14" s="19"/>
      <c r="G14" s="15"/>
      <c r="H14" s="20"/>
      <c r="I14" s="18"/>
      <c r="J14" s="18"/>
      <c r="K14" s="50"/>
    </row>
    <row r="15" spans="1:31" customHeight="1" ht="15.75">
      <c r="B15" s="7"/>
      <c r="C15" s="8"/>
      <c r="D15" s="9"/>
      <c r="E15" s="21">
        <v>0</v>
      </c>
      <c r="F15" s="8" t="s">
        <v>98</v>
      </c>
      <c r="G15" s="22"/>
      <c r="H15" s="22"/>
      <c r="I15" s="52">
        <f>June!A19</f>
        <v>9</v>
      </c>
      <c r="J15" s="52">
        <f>June!AO21-June!AP21</f>
        <v>17198375.11680000275373</v>
      </c>
      <c r="K15" s="46"/>
      <c r="N15" t="s">
        <v>99</v>
      </c>
    </row>
    <row r="16" spans="1:31" customHeight="1" ht="15.75">
      <c r="B16" s="7"/>
      <c r="C16" s="8"/>
      <c r="D16" s="9"/>
      <c r="E16" s="21"/>
      <c r="F16" s="23"/>
      <c r="G16" s="22"/>
      <c r="H16" s="22"/>
      <c r="I16" s="52"/>
      <c r="J16" s="53"/>
      <c r="K16" s="46"/>
      <c r="N16" t="s">
        <v>60</v>
      </c>
      <c r="O16" s="61">
        <v>0</v>
      </c>
      <c r="P16" s="61">
        <f>June!BA21</f>
        <v>4329783.79680000059307</v>
      </c>
    </row>
    <row r="17" spans="1:31" customHeight="1" ht="15.75">
      <c r="B17" s="7"/>
      <c r="C17" s="8"/>
      <c r="D17" s="9"/>
      <c r="E17" s="21">
        <v>0</v>
      </c>
      <c r="F17" s="23" t="s">
        <v>100</v>
      </c>
      <c r="G17" s="8"/>
      <c r="H17" s="24" t="s">
        <v>101</v>
      </c>
      <c r="I17" s="52">
        <f>June!AS21</f>
        <v>500000</v>
      </c>
      <c r="J17" s="53"/>
      <c r="K17" s="46"/>
      <c r="N17" t="s">
        <v>59</v>
      </c>
      <c r="O17" s="61">
        <v>0</v>
      </c>
      <c r="P17" s="61">
        <f>June!AZ21</f>
        <v>2342956.60000000009313</v>
      </c>
    </row>
    <row r="18" spans="1:31" customHeight="1" ht="15.75">
      <c r="B18" s="7"/>
      <c r="C18" s="8"/>
      <c r="D18" s="9"/>
      <c r="E18" s="21"/>
      <c r="F18" s="23"/>
      <c r="G18" s="8"/>
      <c r="H18" s="24" t="s">
        <v>102</v>
      </c>
      <c r="I18" s="52">
        <f>June!AQ21+June!AT21+June!AU21</f>
        <v>6672740.39680000022054</v>
      </c>
      <c r="J18" s="52">
        <f>+I17+I18+I19</f>
        <v>7172740.39680000022054</v>
      </c>
      <c r="K18" s="46"/>
      <c r="M18" s="51"/>
      <c r="N18" s="51"/>
      <c r="O18" s="51">
        <f>SUM(O16:O17)</f>
        <v>0</v>
      </c>
      <c r="P18" s="51">
        <f>SUM(P16:P17)</f>
        <v>6672740.39680000022054</v>
      </c>
      <c r="Q18" s="51"/>
      <c r="R18" s="51"/>
      <c r="S18" s="51"/>
      <c r="T18" s="51"/>
      <c r="U18" s="51"/>
      <c r="V18" s="51"/>
      <c r="W18" s="51"/>
      <c r="X18" s="51"/>
    </row>
    <row r="19" spans="1:31" customHeight="1" ht="15.75">
      <c r="B19" s="7"/>
      <c r="C19" s="8"/>
      <c r="D19" s="9"/>
      <c r="E19" s="21"/>
      <c r="F19" s="23"/>
      <c r="G19" s="8"/>
      <c r="H19" s="24" t="s">
        <v>103</v>
      </c>
      <c r="I19" s="52">
        <f>June!AV21</f>
        <v>0</v>
      </c>
      <c r="J19" s="53"/>
      <c r="K19" s="46"/>
      <c r="N19" s="51"/>
      <c r="O19" s="51">
        <f>O18-I18</f>
        <v>-6672740.39680000022054</v>
      </c>
      <c r="P19" s="54">
        <f>P18-I18</f>
        <v>0</v>
      </c>
    </row>
    <row r="20" spans="1:31" customHeight="1" ht="15.75" s="2" customFormat="1">
      <c r="B20" s="25"/>
      <c r="C20" s="9"/>
      <c r="D20" s="9"/>
      <c r="E20" s="21">
        <v>0</v>
      </c>
      <c r="F20" s="26" t="s">
        <v>104</v>
      </c>
      <c r="G20" s="9"/>
      <c r="H20" s="27"/>
      <c r="I20" s="53"/>
      <c r="J20" s="55">
        <f>+J15-J18</f>
        <v>10025634.7200000025332</v>
      </c>
      <c r="K20" s="56"/>
      <c r="N20" s="51"/>
      <c r="O20" s="57"/>
    </row>
    <row r="21" spans="1:31" customHeight="1" ht="15.75">
      <c r="B21" s="7"/>
      <c r="C21" s="8"/>
      <c r="D21" s="9"/>
      <c r="E21" s="21"/>
      <c r="F21" s="23"/>
      <c r="G21" s="8"/>
      <c r="H21" s="8"/>
      <c r="I21" s="52"/>
      <c r="J21" s="53"/>
      <c r="K21" s="46"/>
      <c r="O21" s="51"/>
    </row>
    <row r="22" spans="1:31" customHeight="1" ht="15.75">
      <c r="B22" s="7"/>
      <c r="C22" s="8"/>
      <c r="D22" s="9"/>
      <c r="E22" s="21"/>
      <c r="F22" s="26" t="s">
        <v>105</v>
      </c>
      <c r="G22" s="8"/>
      <c r="H22" s="8"/>
      <c r="I22" s="52"/>
      <c r="J22" s="53"/>
      <c r="K22" s="46"/>
    </row>
    <row r="23" spans="1:31" customHeight="1" ht="7.5">
      <c r="B23" s="7"/>
      <c r="C23" s="8"/>
      <c r="D23" s="9"/>
      <c r="E23" s="21"/>
      <c r="F23" s="23"/>
      <c r="G23" s="8"/>
      <c r="H23" s="8"/>
      <c r="I23" s="52"/>
      <c r="J23" s="53"/>
      <c r="K23" s="46"/>
    </row>
    <row r="24" spans="1:31" customHeight="1" ht="15.75">
      <c r="B24" s="7"/>
      <c r="C24" s="8"/>
      <c r="D24" s="9"/>
      <c r="E24" s="21">
        <v>0</v>
      </c>
      <c r="F24" s="23" t="s">
        <v>106</v>
      </c>
      <c r="G24" s="8"/>
      <c r="H24" s="28">
        <f>I15-H25</f>
        <v>9</v>
      </c>
      <c r="I24" s="58">
        <f>June!AX21-REKAP!I25</f>
        <v>10025634.71999999880791</v>
      </c>
      <c r="J24" s="53"/>
      <c r="K24" s="46"/>
      <c r="M24" s="59"/>
    </row>
    <row r="25" spans="1:31" customHeight="1" ht="15.75">
      <c r="B25" s="7"/>
      <c r="C25" s="8"/>
      <c r="D25" s="9"/>
      <c r="E25" s="21">
        <v>0</v>
      </c>
      <c r="F25" s="23" t="s">
        <v>107</v>
      </c>
      <c r="G25" s="8"/>
      <c r="H25" s="29">
        <v>0</v>
      </c>
      <c r="I25" s="52">
        <f>N31</f>
        <v>0</v>
      </c>
      <c r="J25" s="60">
        <f>+I24+I25</f>
        <v>10025634.71999999880791</v>
      </c>
      <c r="K25" s="46"/>
      <c r="N25" s="51"/>
      <c r="O25" s="61"/>
    </row>
    <row r="26" spans="1:31" customHeight="1" ht="15.75">
      <c r="B26" s="7"/>
      <c r="C26" s="8"/>
      <c r="D26" s="9"/>
      <c r="E26" s="21"/>
      <c r="F26" s="23"/>
      <c r="G26" s="8"/>
      <c r="H26" s="29">
        <f>+I15-H24-H25</f>
        <v>0</v>
      </c>
      <c r="I26" s="52"/>
      <c r="J26" s="62">
        <f>+J20-J25</f>
        <v>3.7252902984619E-9</v>
      </c>
      <c r="K26" s="63"/>
      <c r="M26" s="59" t="s">
        <v>108</v>
      </c>
      <c r="N26" s="54"/>
      <c r="O26" s="61"/>
    </row>
    <row r="27" spans="1:31" customHeight="1" ht="13">
      <c r="B27" s="7"/>
      <c r="C27" s="8"/>
      <c r="D27" s="9"/>
      <c r="E27" s="30"/>
      <c r="F27" s="31"/>
      <c r="G27" s="32"/>
      <c r="H27" s="33"/>
      <c r="I27" s="64"/>
      <c r="J27" s="65"/>
      <c r="K27" s="63"/>
      <c r="M27" s="59"/>
      <c r="N27" s="66"/>
      <c r="O27" s="61"/>
    </row>
    <row r="28" spans="1:31" customHeight="1" ht="13">
      <c r="B28" s="7"/>
      <c r="C28" s="8"/>
      <c r="D28" s="9"/>
      <c r="E28" s="34"/>
      <c r="F28" s="8"/>
      <c r="G28" s="8"/>
      <c r="H28" s="8"/>
      <c r="I28" s="67"/>
      <c r="J28" s="68"/>
      <c r="K28" s="46"/>
      <c r="L28">
        <v>0</v>
      </c>
      <c r="N28" s="54">
        <v>0</v>
      </c>
      <c r="O28" s="61"/>
    </row>
    <row r="29" spans="1:31" customHeight="1" ht="13">
      <c r="B29" s="11"/>
      <c r="C29" s="12"/>
      <c r="D29" s="35"/>
      <c r="E29" s="12"/>
      <c r="F29" s="12"/>
      <c r="G29" s="12"/>
      <c r="H29" s="12"/>
      <c r="I29" s="69"/>
      <c r="J29" s="70"/>
      <c r="K29" s="48"/>
      <c r="M29" s="235"/>
      <c r="N29" s="71"/>
      <c r="O29" s="61"/>
      <c r="P29" s="54"/>
    </row>
    <row r="30" spans="1:31">
      <c r="B30" s="7"/>
      <c r="C30" s="8"/>
      <c r="D30" s="8"/>
      <c r="E30" s="8"/>
      <c r="F30" s="8"/>
      <c r="G30" s="8"/>
      <c r="H30" s="8"/>
      <c r="I30" s="45"/>
      <c r="J30" s="45"/>
      <c r="K30" s="46"/>
      <c r="M30" s="59"/>
      <c r="N30" s="72"/>
    </row>
    <row r="31" spans="1:31">
      <c r="B31" s="7"/>
      <c r="C31" s="8"/>
      <c r="D31" s="8" t="s">
        <v>109</v>
      </c>
      <c r="E31" s="8"/>
      <c r="F31" s="8"/>
      <c r="G31" s="8"/>
      <c r="H31" s="8"/>
      <c r="I31" s="45"/>
      <c r="J31" s="45"/>
      <c r="K31" s="46"/>
      <c r="N31" s="71">
        <f>SUM(N27:N30)</f>
        <v>0</v>
      </c>
    </row>
    <row r="32" spans="1:31">
      <c r="B32" s="7"/>
      <c r="C32" s="8"/>
      <c r="D32" s="8"/>
      <c r="E32" s="8"/>
      <c r="F32" s="8"/>
      <c r="G32" s="8"/>
      <c r="H32" s="8"/>
      <c r="I32" s="45"/>
      <c r="J32" s="45"/>
      <c r="K32" s="46"/>
    </row>
    <row r="33" spans="1:31">
      <c r="B33" s="7"/>
      <c r="C33" s="8"/>
      <c r="D33" s="8" t="s">
        <v>110</v>
      </c>
      <c r="E33" s="8"/>
      <c r="F33" s="8"/>
      <c r="G33" s="8"/>
      <c r="H33" s="8" t="s">
        <v>111</v>
      </c>
      <c r="I33" s="45"/>
      <c r="J33" s="8" t="s">
        <v>112</v>
      </c>
      <c r="K33" s="46"/>
    </row>
    <row r="34" spans="1:31">
      <c r="B34" s="7"/>
      <c r="C34" s="8"/>
      <c r="D34" s="8"/>
      <c r="E34" s="8"/>
      <c r="F34" s="8"/>
      <c r="G34" s="8"/>
      <c r="H34" s="8"/>
      <c r="I34" s="45"/>
      <c r="J34" s="45"/>
      <c r="K34" s="46"/>
      <c r="N34" s="71"/>
    </row>
    <row r="35" spans="1:31">
      <c r="B35" s="7"/>
      <c r="C35" s="8"/>
      <c r="D35" s="8"/>
      <c r="E35" s="8"/>
      <c r="F35" s="8"/>
      <c r="G35" s="8"/>
      <c r="H35" s="8"/>
      <c r="I35" s="45"/>
      <c r="J35" s="45"/>
      <c r="K35" s="46"/>
      <c r="N35" s="71"/>
    </row>
    <row r="36" spans="1:31" customHeight="1" ht="13">
      <c r="B36" s="7"/>
      <c r="C36" s="8"/>
      <c r="D36" s="2"/>
      <c r="E36" s="8"/>
      <c r="F36" s="8"/>
      <c r="G36" s="8"/>
      <c r="H36" s="8"/>
      <c r="I36" s="45"/>
      <c r="J36" s="45"/>
      <c r="K36" s="46"/>
    </row>
    <row r="37" spans="1:31">
      <c r="B37" s="7"/>
      <c r="C37" s="8"/>
      <c r="D37" s="8"/>
      <c r="E37" s="8"/>
      <c r="F37" s="8"/>
      <c r="G37" s="8"/>
      <c r="H37" s="8"/>
      <c r="I37" s="45"/>
      <c r="J37" s="45"/>
      <c r="K37" s="46"/>
      <c r="N37" s="54"/>
    </row>
    <row r="38" spans="1:31" customHeight="1" ht="14">
      <c r="B38" s="7"/>
      <c r="C38" s="8"/>
      <c r="D38" s="36"/>
      <c r="G38" s="8"/>
      <c r="H38" s="36"/>
      <c r="I38" s="73"/>
      <c r="J38" s="36"/>
      <c r="K38" s="46"/>
    </row>
    <row r="39" spans="1:31" customHeight="1" ht="13">
      <c r="B39" s="7"/>
      <c r="C39" s="8"/>
      <c r="D39" s="37" t="s">
        <v>113</v>
      </c>
      <c r="E39" s="38"/>
      <c r="F39" s="38"/>
      <c r="G39" s="39"/>
      <c r="H39" s="37"/>
      <c r="I39" s="73"/>
      <c r="J39" s="37"/>
      <c r="K39" s="56"/>
    </row>
    <row r="40" spans="1:31" customHeight="1" ht="13">
      <c r="B40" s="11"/>
      <c r="C40" s="12"/>
      <c r="D40" s="40"/>
      <c r="E40" s="12"/>
      <c r="F40" s="12"/>
      <c r="G40" s="12"/>
      <c r="H40" s="12"/>
      <c r="I40" s="47"/>
      <c r="J40" s="47"/>
      <c r="K40" s="74"/>
    </row>
    <row r="41" spans="1:31" customHeight="1" ht="13">
      <c r="B41" s="4"/>
      <c r="C41" s="4"/>
      <c r="D41" s="41"/>
      <c r="E41" s="41"/>
      <c r="F41" s="4"/>
      <c r="G41" s="4"/>
      <c r="H41" s="4"/>
      <c r="I41" s="43"/>
      <c r="J41" s="43"/>
      <c r="K41" s="6"/>
    </row>
    <row r="42" spans="1:31" customHeight="1" ht="13">
      <c r="B42" s="8"/>
      <c r="C42" s="8"/>
      <c r="D42" s="42"/>
      <c r="E42" s="42"/>
      <c r="F42" s="8"/>
      <c r="G42" s="8"/>
      <c r="H42" s="8"/>
      <c r="I42" s="45"/>
      <c r="J42" s="45"/>
      <c r="K42" s="9"/>
    </row>
  </sheetData>
  <mergeCells>
    <mergeCell ref="B7:K7"/>
    <mergeCell ref="B8:K8"/>
    <mergeCell ref="E12:E13"/>
    <mergeCell ref="F12:H13"/>
  </mergeCells>
  <printOptions gridLines="false" gridLinesSet="true" horizontalCentered="true"/>
  <pageMargins left="0.7" right="0.7" top="1" bottom="0.75" header="0.3" footer="0.3"/>
  <pageSetup paperSize="1" orientation="portrait" scale="85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June</vt:lpstr>
      <vt:lpstr>New slip</vt:lpstr>
      <vt:lpstr>REKAP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Dandy</dc:creator>
  <cp:lastModifiedBy>Admin</cp:lastModifiedBy>
  <dcterms:created xsi:type="dcterms:W3CDTF">2012-06-06T03:45:00+02:00</dcterms:created>
  <dcterms:modified xsi:type="dcterms:W3CDTF">2026-07-24T09:34:26+02:00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DCEC4284CB2B406BAD6A2BD0C929E102_12</vt:lpwstr>
  </property>
  <property fmtid="{D5CDD505-2E9C-101B-9397-08002B2CF9AE}" pid="3" name="KSOProductBuildVer">
    <vt:lpwstr>1033-12.2.0.17153</vt:lpwstr>
  </property>
</Properties>
</file>