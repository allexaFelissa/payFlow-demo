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317" visibility="visible"/>
  </bookViews>
  <sheets>
    <sheet name="DATA" sheetId="1" r:id="rId4"/>
    <sheet name="BPMP" sheetId="2" r:id="rId5"/>
    <sheet name="REF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<sst xmlns="http://schemas.openxmlformats.org/spreadsheetml/2006/main" uniqueCount="86">
  <si>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NPWP Pemotong</t>
  </si>
  <si>
    <t>Masa Pajak</t>
  </si>
  <si>
    <t>Tahun Pajak</t>
  </si>
  <si>
    <t>Status Pegawai</t>
  </si>
  <si>
    <t>NPWP/NIK/TIN</t>
  </si>
  <si>
    <t>Nomor Passport</t>
  </si>
  <si>
    <t>Status</t>
  </si>
  <si>
    <t>Posisi</t>
  </si>
  <si>
    <t>Sertifikat/Fasilitas</t>
  </si>
  <si>
    <t>Kode Objek Pajak</t>
  </si>
  <si>
    <t>Penghasilan Kotor</t>
  </si>
  <si>
    <t>Tarif</t>
  </si>
  <si>
    <t>ID TKU</t>
  </si>
  <si>
    <t>Tgl Pemotongan</t>
  </si>
  <si>
    <t>TER A</t>
  </si>
  <si>
    <t>TER B</t>
  </si>
  <si>
    <t>TER C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</si>
  <si>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</si>
  <si>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</si>
  <si>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</si>
  <si>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</si>
  <si>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</si>
  <si>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</si>
  <si>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TIN</t>
  </si>
  <si>
    <t>Diisi dengan NPWP pemotong</t>
  </si>
  <si>
    <t>1234567890123456</t>
  </si>
  <si>
    <t>NPWP Pemotong harus sama dengan NPWP login</t>
  </si>
  <si>
    <t>TaxPeriodMonth</t>
  </si>
  <si>
    <t>Diisi dengan masa pajak pemotongan</t>
  </si>
  <si>
    <t>1</t>
  </si>
  <si>
    <t>TaxPeriodYear</t>
  </si>
  <si>
    <t>2025</t>
  </si>
  <si>
    <t>CounterpartOpt</t>
  </si>
  <si>
    <t>Diisi dengan status kewarganegaraan pegawai (karyawan asing atau tidak)</t>
  </si>
  <si>
    <t>Resident</t>
  </si>
  <si>
    <t>CounterpartTin</t>
  </si>
  <si>
    <t>Diisi dengan NIK pegawai tetap</t>
  </si>
  <si>
    <t>0987654321098765</t>
  </si>
  <si>
    <t>NPWP/NIK wajib valid</t>
  </si>
  <si>
    <t>CounterpartPassport</t>
  </si>
  <si>
    <t>Diisi dengan nomor paspor pegawai tetap (jika karyawan asing)</t>
  </si>
  <si>
    <t>StatusTaxExemption</t>
  </si>
  <si>
    <t>Diisi dengan status PTKP penerima penghasilan</t>
  </si>
  <si>
    <t>TK/3</t>
  </si>
  <si>
    <t>Position</t>
  </si>
  <si>
    <t>Diisi dengan posisi pegawai tetap</t>
  </si>
  <si>
    <t>Staff</t>
  </si>
  <si>
    <t>TaxCertificate</t>
  </si>
  <si>
    <t>Diisi dengan fasilitas perpajakan yang digunakan</t>
  </si>
  <si>
    <t>N/A</t>
  </si>
  <si>
    <t>TaxObjectCode</t>
  </si>
  <si>
    <t>Diisi dengan kode objek pajak</t>
  </si>
  <si>
    <t>21-100-01</t>
  </si>
  <si>
    <t>Gross</t>
  </si>
  <si>
    <t>Diisi dengan penghasilan bruto</t>
  </si>
  <si>
    <t>Rate</t>
  </si>
  <si>
    <t>Diisi dengan tarif yang sesuai dengan referensi kode objek pajak</t>
  </si>
  <si>
    <t>Jika menggunakan fasilitas perpajakan lainnya, tarif dapat diisi tidak sesuai dengan referensi kode objek pajak</t>
  </si>
  <si>
    <t>Jika tarif menggunakan koma, di export ke xml, excel secara otomatis akan merubah menjadi format desimal menggunakan titik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</si>
  <si>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</si>
  <si>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</si>
  <si>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</si>
  <si>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</si>
  <si>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</si>
  <si>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Tanggal pemotongan tidak boleh lebih rendah dari masa/tahun pajak bukti potong</t>
  </si>
  <si>
    <t>Saat di export ke xml, excel secara otomatis akan merubah menjadi format YYYY-MM-DD</t>
  </si>
  <si>
    <t>Nama Objek Pajak</t>
  </si>
  <si>
    <t>TK/0</t>
  </si>
  <si>
    <t>Penghasilan yang diterima oleh Pegawai Tetap termasuk Pegawai Negeri Sipil, Anggota Tentara Nasional Indonesia, Anggota Polisi Republik Indonesia atau Pejabat Negara</t>
  </si>
  <si>
    <t>Foreign</t>
  </si>
  <si>
    <t>TK/1</t>
  </si>
  <si>
    <t>DTP</t>
  </si>
  <si>
    <t>21-100-02</t>
  </si>
  <si>
    <t>Penghasilan yang diterima oleh Penerima Pensiun secara  teratur</t>
  </si>
  <si>
    <t>TK/2</t>
  </si>
  <si>
    <t>ETC</t>
  </si>
  <si>
    <t>21-100-32</t>
  </si>
  <si>
    <t>Penghasilan yang diterima oleh Pegawai tetap yang menerima fasilitas di daerah tertentu</t>
  </si>
  <si>
    <t>K/0</t>
  </si>
  <si>
    <t>K/1</t>
  </si>
  <si>
    <t>K/2</t>
  </si>
  <si>
    <t>K/3</t>
  </si>
  <si>
    <t>HB/0</t>
  </si>
  <si>
    <t>HB/1</t>
  </si>
  <si>
    <t>HB/2</t>
  </si>
  <si>
    <t>HB/3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</si>
</sst>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1"/>
      <scheme val="minor"/>
    </font>
    <font>
      <b val="1"/>
      <i val="0"/>
      <strike val="0"/>
      <u val="none"/>
      <sz val="11"/>
      <color theme="1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0" quotePrefix="1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quotePrefix="1" numFmtId="14" fillId="0" borderId="0" applyFont="0" applyNumberFormat="1" applyFill="0" applyBorder="0" applyAlignment="1">
      <alignment horizontal="right" vertical="bottom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bottom" textRotation="0" wrapText="false" shrinkToFit="false"/>
    </xf>
    <xf xfId="0" fontId="0" quotePrefix="1" numFmtId="14" fillId="0" borderId="0" applyFont="0" applyNumberFormat="1" applyFill="0" applyBorder="0" applyAlignment="1">
      <alignment horizontal="left" vertical="bottom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Table1" displayName="Table2" ref="B4:N56" headerRowCount="1" totalsRowCount="0">
  <autoFilter ref="B4:N56"/>
  <tableColumns count="13">
    <tableColumn id="1" name="Masa Pajak"/>
    <tableColumn id="2" name="Tahun Pajak"/>
    <tableColumn id="3" name="Status Pegawai"/>
    <tableColumn id="4" name="NPWP/NIK/TIN"/>
    <tableColumn id="5" name="Nomor Passport"/>
    <tableColumn id="6" name="Status"/>
    <tableColumn id="7" name="Posisi"/>
    <tableColumn id="8" name="Sertifikat/Fasilitas"/>
    <tableColumn id="9" name="Kode Objek Pajak"/>
    <tableColumn id="10" name="Penghasilan Kotor"/>
    <tableColumn id="11" name="Tarif">
      <calculatedColumnFormula>IF(OR(G5="TK/0",G5="TK/1",G5="K/0",G5="HB/0",G5="HB/1"),P5,IF(OR(G5="TK/2",G5="TK/3",G5="K/1",G5="K/2",G5="HB/2",G5="HB/3"),Q5,R5))</calculatedColumnFormula>
    </tableColumn>
    <tableColumn id="12" name="ID TKU"/>
    <tableColumn id="13" name="Tgl Pemoto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56"/>
  <sheetViews>
    <sheetView tabSelected="1" workbookViewId="0" zoomScale="90" zoomScaleNormal="9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17.28515625" customWidth="true" style="0"/>
    <col min="3" max="3" width="13.85546875" customWidth="true" style="0"/>
    <col min="4" max="4" width="16.7109375" customWidth="true" style="0"/>
    <col min="5" max="5" width="25.42578125" customWidth="true" style="0"/>
    <col min="6" max="6" width="17.5703125" customWidth="true" style="0"/>
    <col min="7" max="7" width="8.7109375" customWidth="true" style="0"/>
    <col min="8" max="8" width="10.5703125" customWidth="true" style="0"/>
    <col min="9" max="9" width="19.7109375" customWidth="true" style="0"/>
    <col min="10" max="10" width="18.85546875" customWidth="true" style="0"/>
    <col min="11" max="11" width="19.5703125" customWidth="true" style="0"/>
    <col min="12" max="12" width="7.28515625" customWidth="true" style="0"/>
    <col min="13" max="13" width="24.5703125" customWidth="true" style="0"/>
    <col min="14" max="14" width="17.7109375" customWidth="true" style="0"/>
    <col min="16" max="16" width="10.5703125" customWidth="true" style="0"/>
    <col min="18" max="18" width="10.5703125" customWidth="true" style="0"/>
  </cols>
  <sheetData>
    <row r="1" spans="1:21">
      <c r="A1" t="s">
        <v>0</v>
      </c>
    </row>
    <row r="4" spans="1:21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P4" t="s">
        <v>14</v>
      </c>
      <c r="Q4" t="s">
        <v>15</v>
      </c>
      <c r="R4" t="s">
        <v>16</v>
      </c>
    </row>
    <row r="5" spans="1:21">
      <c r="D5" s="1"/>
      <c r="F5" s="1"/>
      <c r="G5" s="1"/>
      <c r="H5" s="1"/>
      <c r="I5" s="1"/>
      <c r="J5" s="1"/>
      <c r="L5">
        <f>IF(OR(G5="TK/0",G5="TK/1",G5="K/0",G5="HB/0",G5="HB/1"),P5,IF(OR(G5="TK/2",G5="TK/3",G5="K/1",G5="K/2",G5="HB/2",G5="HB/3"),Q5,R5))</f>
        <v>0</v>
      </c>
      <c r="M5" s="1"/>
      <c r="N5" s="2"/>
      <c r="P5" s="10">
        <f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0</v>
      </c>
      <c r="Q5" s="10">
        <f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0</v>
      </c>
      <c r="R5" s="10">
        <f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0</v>
      </c>
      <c r="S5" s="10"/>
      <c r="T5" s="10"/>
      <c r="U5" s="10"/>
    </row>
    <row r="6" spans="1:21">
      <c r="D6" s="1"/>
      <c r="F6" s="1"/>
      <c r="G6" s="1"/>
      <c r="H6" s="1"/>
      <c r="I6" s="1"/>
      <c r="J6" s="1"/>
      <c r="L6">
        <f>IF(OR(G6="TK/0",G6="TK/1",G6="K/0",G6="HB/0",G6="HB/1"),P6,IF(OR(G6="TK/2",G6="TK/3",G6="K/1",G6="K/2",G6="HB/2",G6="HB/3"),Q6,R6))</f>
        <v>0</v>
      </c>
      <c r="M6" s="1"/>
      <c r="N6" s="2"/>
      <c r="P6" s="10">
        <f>IF(K6&lt;=5400000,0,IF(AND(K6&gt;5400000,K6&lt;=5650000),0.25,IF(AND(K6&gt;5650000,K6&lt;=5950000),0.5,IF(AND(K6&gt;5950000,K6&lt;=6300000),0.75,IF(AND(K6&gt;6300000,K6&lt;=6750000),1,IF(AND(K6&gt;6750000,K6&lt;=7500000),1.25,IF(AND(K6&gt;7500000,K6&lt;=8550000),1.5,IF(AND(K6&gt;8550000,K6&lt;=9650000),1.75,IF(AND(K6&gt;9650000,K6&lt;=10050000),2,IF(AND(K6&gt;10050000,K6&lt;=10350000),2.25,IF(AND(K6&gt;10350000,K6&lt;=10700000),2.5,IF(AND(K6&gt;10700000,K6&lt;=11050000),3,IF(AND(K6&gt;11050000,K6&lt;=11600000),3.5,IF(AND(K6&gt;11600000,K6&lt;=12500000),4,IF(AND(K6&gt;12500000,K6&lt;=13750000),5,IF(AND(K6&gt;13750000,K6&lt;=15100000),6,IF(AND(K6&gt;15100000,K6&lt;=16950000),7,IF(AND(K6&gt;16950000,K6&lt;=19750000),8,IF(AND(K6&gt;19750000,K6&lt;=24150000),9,IF(AND(K6&gt;24150000,K6&lt;=26450000),10,IF(AND(K6&gt;26450000,K6&lt;=28000000),11,IF(AND(K6&gt;28000000,K6&lt;=30050000),12,IF(AND(K6&gt;30050000,K6&lt;=32400000),13,IF(AND(K6&gt;32400000,K6&lt;=35400000),14,IF(AND(K6&gt;35400000,K6&lt;=39100000),15,IF(AND(K6&gt;39100000,K6&lt;=43850000),16,IF(AND(K6&gt;43850000,K6&lt;=47800000),17,IF(AND(K6&gt;47800000,K6&lt;=51400000),18,IF(AND(K6&gt;51400000,K6&lt;=56300000),19,IF(AND(K6&gt;56300000,K6&lt;=62200000),20,IF(AND(K6&gt;62200000,K6&lt;=68600000),21,IF(AND(K6&gt;68600000,K6&lt;=77500000),22,IF(AND(K6&gt;77500000,K6&lt;=89000000),23,IF(AND(K6&gt;89000000,K6&lt;=103000000),24,IF(AND(K6&gt;103000000,K6&lt;=125000000),25,IF(AND(K6&gt;125000000,K6&lt;=157000000),26,IF(AND(K6&gt;157000000,K6&lt;=206000000),27,IF(AND(K6&gt;206000000,K6&lt;=337000000),28,IF(AND(K6&gt;337000000,K6&lt;=454000000),29,IF(AND(K6&gt;454000000,K6&lt;=550000000),30,IF(AND(K6&gt;550000000,K6&lt;=695000000),31,IF(AND(K6&gt;695000000,K6&lt;=910000000),32,IF(AND(K6&gt;910000000,K6&lt;=1400000000),33,34)))))))))))))))))))))))))))))))))))))))))))</f>
        <v>0</v>
      </c>
      <c r="Q6" s="10">
        <f>IF(K6&lt;=6200000,0,IF(AND(K6&gt;6200000,K6&lt;=6500000),0.25,IF(AND(K6&gt;6500000,K6&lt;=6850000),0.5,IF(AND(K6&gt;6850000,K6&lt;=7300000),0.75,IF(AND(K6&gt;7300000,K6&lt;=9200000),1,IF(AND(K6&gt;9200000,K6&lt;=10750000),1.5,IF(AND(K6&gt;10750000,K6&lt;=11250000),2,IF(AND(K6&gt;11250000,K6&lt;=11600000),2.5,IF(AND(K6&gt;11600000,K6&lt;=12600000),3,IF(AND(K6&gt;12600000,K6&lt;=13600000),4,IF(AND(K6&gt;13600000,K6&lt;=14950000),5,IF(AND(K6&gt;14950000,K6&lt;=16400000),6,IF(AND(K6&gt;16400000,K6&lt;=18450000),7,IF(AND(K6&gt;18450000,K6&lt;=21850000),8,IF(AND(K6&gt;21850000,K6&lt;=26000000),9,IF(AND(K6&gt;26000000,K6&lt;=27700000),10,IF(AND(K6&gt;27700000,K6&lt;=29350000),11,IF(AND(K6&gt;29350000,K6&lt;=31450000),12,IF(AND(K6&gt;31450000,K6&lt;=33950000),13,IF(AND(K6&gt;33950000,K6&lt;=37100000),14,IF(AND(K6&gt;37100000,K6&lt;=41100000),15,IF(AND(K6&gt;41100000,K6&lt;=45800000),16,IF(AND(K6&gt;45800000,K6&lt;=49500000),17,IF(AND(K6&gt;49500000,K6&lt;=53800000),18,IF(AND(K6&gt;53800000,K6&lt;=58500000),19,IF(AND(K6&gt;58500000,K6&lt;=64000000),20,IF(AND(K6&gt;64000000,K6&lt;=71000000),21,IF(AND(K6&gt;71000000,K6&lt;=80000000),22,IF(AND(K6&gt;80000000,K6&lt;=93000000),23,IF(AND(K6&gt;93000000,K6&lt;=109000000),24,IF(AND(K6&gt;109000000,K6&lt;=129000000),25,IF(AND(K6&gt;129000000,K6&lt;=163000000),26,IF(AND(K6&gt;163000000,K6&lt;=211000000),27,IF(AND(K6&gt;211000000,K6&lt;=374000000),28,IF(AND(K6&gt;374000000,K6&lt;=459000000),29,IF(AND(K6&gt;459000000,K6&lt;=555000000),30,IF(AND(K6&gt;555000000,K6&lt;=704000000),31,IF(AND(K6&gt;704000000,K6&lt;=957000000),32,IF(AND(K6&gt;957000000,K6&lt;=1405000000),33,34)))))))))))))))))))))))))))))))))))))))</f>
        <v>0</v>
      </c>
      <c r="R6" s="10">
        <f>IF(K6&lt;=6600000,0,IF(AND(K6&gt;6600000,K6&lt;=6950000),0.25,IF(AND(K6&gt;6950000,K6&lt;=7350000),0.5,IF(AND(K6&gt;7350000,K6&lt;=7800000),0.75,IF(AND(K6&gt;7800000,K6&lt;=8850000),1,IF(AND(K6&gt;8850000,K6&lt;=9800000),1.25,IF(AND(K6&gt;9800000,K6&lt;=10950000),1.5,IF(AND(K6&gt;10950000,K6&lt;=11200000),1.75,IF(AND(K6&gt;11200000,K6&lt;=12050000),2,IF(AND(K6&gt;12050000,K6&lt;=12950000),3,IF(AND(K6&gt;12950000,K6&lt;=14150000),4,IF(AND(K6&gt;14150000,K6&lt;=15550000),5,IF(AND(K6&gt;15550000,K6&lt;=17050000),6,IF(AND(K6&gt;17050000,K6&lt;=19500000),7,IF(AND(K6&gt;19500000,K6&lt;=22700000),8,IF(AND(K6&gt;22700000,K6&lt;=26600000),9,IF(AND(K6&gt;26600000,K6&lt;=28100000),10,IF(AND(K6&gt;28100000,K6&lt;=30100000),11,IF(AND(K6&gt;30100000,K6&lt;=32600000),12,IF(AND(K6&gt;32600000,K6&lt;=35400000),13,IF(AND(K6&gt;35400000,K6&lt;=38900000),14,IF(AND(K6&gt;38900000,K6&lt;=43000000),15,IF(AND(K6&gt;43000000,K6&lt;=47400000),16,IF(AND(K6&gt;47400000,K6&lt;=51200000),17,IF(AND(K6&gt;51200000,K6&lt;=55800000),18,IF(AND(K6&gt;55800000,K6&lt;=60400000),19,IF(AND(K6&gt;60400000,K6&lt;=66700000),20,IF(AND(K6&gt;66700000,K6&lt;=74500000),21,IF(AND(K6&gt;74500000,K6&lt;=83200000),22,IF(AND(K6&gt;83200000,K6&lt;=95600000),23,IF(AND(K6&gt;95600000,K6&lt;=110000000),24,IF(AND(K6&gt;110000000,K6&lt;=134000000),25,IF(AND(K6&gt;134000000,K6&lt;=169000000),26,IF(AND(K6&gt;169000000,K6&lt;=221000000),27,IF(AND(K6&gt;221000000,K6&lt;=390000000),28,IF(AND(K6&gt;390000000,K6&lt;=463000000),29,IF(AND(K6&gt;463000000,K6&lt;=561000000),30,IF(AND(K6&gt;561000000,K6&lt;=709000000),31,IF(AND(K6&gt;709000000,K6&lt;=965000000),32,IF(AND(K6&gt;965000000,K6&lt;=1419000000),33,34))))))))))))))))))))))))))))))))))))))))</f>
        <v>0</v>
      </c>
      <c r="S6" s="10"/>
      <c r="T6" s="10"/>
      <c r="U6" s="10"/>
    </row>
    <row r="7" spans="1:21">
      <c r="D7" s="1"/>
      <c r="F7" s="1"/>
      <c r="G7" s="1"/>
      <c r="H7" s="1"/>
      <c r="I7" s="1"/>
      <c r="J7" s="1"/>
      <c r="L7">
        <f>IF(OR(G7="TK/0",G7="TK/1",G7="K/0",G7="HB/0",G7="HB/1"),P7,IF(OR(G7="TK/2",G7="TK/3",G7="K/1",G7="K/2",G7="HB/2",G7="HB/3"),Q7,R7))</f>
        <v>0</v>
      </c>
      <c r="M7" s="1"/>
      <c r="N7" s="2"/>
      <c r="P7" s="10">
        <f>IF(K7&lt;=5400000,0,IF(AND(K7&gt;5400000,K7&lt;=5650000),0.25,IF(AND(K7&gt;5650000,K7&lt;=5950000),0.5,IF(AND(K7&gt;5950000,K7&lt;=6300000),0.75,IF(AND(K7&gt;6300000,K7&lt;=6750000),1,IF(AND(K7&gt;6750000,K7&lt;=7500000),1.25,IF(AND(K7&gt;7500000,K7&lt;=8550000),1.5,IF(AND(K7&gt;8550000,K7&lt;=9650000),1.75,IF(AND(K7&gt;9650000,K7&lt;=10050000),2,IF(AND(K7&gt;10050000,K7&lt;=10350000),2.25,IF(AND(K7&gt;10350000,K7&lt;=10700000),2.5,IF(AND(K7&gt;10700000,K7&lt;=11050000),3,IF(AND(K7&gt;11050000,K7&lt;=11600000),3.5,IF(AND(K7&gt;11600000,K7&lt;=12500000),4,IF(AND(K7&gt;12500000,K7&lt;=13750000),5,IF(AND(K7&gt;13750000,K7&lt;=15100000),6,IF(AND(K7&gt;15100000,K7&lt;=16950000),7,IF(AND(K7&gt;16950000,K7&lt;=19750000),8,IF(AND(K7&gt;19750000,K7&lt;=24150000),9,IF(AND(K7&gt;24150000,K7&lt;=26450000),10,IF(AND(K7&gt;26450000,K7&lt;=28000000),11,IF(AND(K7&gt;28000000,K7&lt;=30050000),12,IF(AND(K7&gt;30050000,K7&lt;=32400000),13,IF(AND(K7&gt;32400000,K7&lt;=35400000),14,IF(AND(K7&gt;35400000,K7&lt;=39100000),15,IF(AND(K7&gt;39100000,K7&lt;=43850000),16,IF(AND(K7&gt;43850000,K7&lt;=47800000),17,IF(AND(K7&gt;47800000,K7&lt;=51400000),18,IF(AND(K7&gt;51400000,K7&lt;=56300000),19,IF(AND(K7&gt;56300000,K7&lt;=62200000),20,IF(AND(K7&gt;62200000,K7&lt;=68600000),21,IF(AND(K7&gt;68600000,K7&lt;=77500000),22,IF(AND(K7&gt;77500000,K7&lt;=89000000),23,IF(AND(K7&gt;89000000,K7&lt;=103000000),24,IF(AND(K7&gt;103000000,K7&lt;=125000000),25,IF(AND(K7&gt;125000000,K7&lt;=157000000),26,IF(AND(K7&gt;157000000,K7&lt;=206000000),27,IF(AND(K7&gt;206000000,K7&lt;=337000000),28,IF(AND(K7&gt;337000000,K7&lt;=454000000),29,IF(AND(K7&gt;454000000,K7&lt;=550000000),30,IF(AND(K7&gt;550000000,K7&lt;=695000000),31,IF(AND(K7&gt;695000000,K7&lt;=910000000),32,IF(AND(K7&gt;910000000,K7&lt;=1400000000),33,34)))))))))))))))))))))))))))))))))))))))))))</f>
        <v>0</v>
      </c>
      <c r="Q7" s="10">
        <f>IF(K7&lt;=6200000,0,IF(AND(K7&gt;6200000,K7&lt;=6500000),0.25,IF(AND(K7&gt;6500000,K7&lt;=6850000),0.5,IF(AND(K7&gt;6850000,K7&lt;=7300000),0.75,IF(AND(K7&gt;7300000,K7&lt;=9200000),1,IF(AND(K7&gt;9200000,K7&lt;=10750000),1.5,IF(AND(K7&gt;10750000,K7&lt;=11250000),2,IF(AND(K7&gt;11250000,K7&lt;=11600000),2.5,IF(AND(K7&gt;11600000,K7&lt;=12600000),3,IF(AND(K7&gt;12600000,K7&lt;=13600000),4,IF(AND(K7&gt;13600000,K7&lt;=14950000),5,IF(AND(K7&gt;14950000,K7&lt;=16400000),6,IF(AND(K7&gt;16400000,K7&lt;=18450000),7,IF(AND(K7&gt;18450000,K7&lt;=21850000),8,IF(AND(K7&gt;21850000,K7&lt;=26000000),9,IF(AND(K7&gt;26000000,K7&lt;=27700000),10,IF(AND(K7&gt;27700000,K7&lt;=29350000),11,IF(AND(K7&gt;29350000,K7&lt;=31450000),12,IF(AND(K7&gt;31450000,K7&lt;=33950000),13,IF(AND(K7&gt;33950000,K7&lt;=37100000),14,IF(AND(K7&gt;37100000,K7&lt;=41100000),15,IF(AND(K7&gt;41100000,K7&lt;=45800000),16,IF(AND(K7&gt;45800000,K7&lt;=49500000),17,IF(AND(K7&gt;49500000,K7&lt;=53800000),18,IF(AND(K7&gt;53800000,K7&lt;=58500000),19,IF(AND(K7&gt;58500000,K7&lt;=64000000),20,IF(AND(K7&gt;64000000,K7&lt;=71000000),21,IF(AND(K7&gt;71000000,K7&lt;=80000000),22,IF(AND(K7&gt;80000000,K7&lt;=93000000),23,IF(AND(K7&gt;93000000,K7&lt;=109000000),24,IF(AND(K7&gt;109000000,K7&lt;=129000000),25,IF(AND(K7&gt;129000000,K7&lt;=163000000),26,IF(AND(K7&gt;163000000,K7&lt;=211000000),27,IF(AND(K7&gt;211000000,K7&lt;=374000000),28,IF(AND(K7&gt;374000000,K7&lt;=459000000),29,IF(AND(K7&gt;459000000,K7&lt;=555000000),30,IF(AND(K7&gt;555000000,K7&lt;=704000000),31,IF(AND(K7&gt;704000000,K7&lt;=957000000),32,IF(AND(K7&gt;957000000,K7&lt;=1405000000),33,34)))))))))))))))))))))))))))))))))))))))</f>
        <v>0</v>
      </c>
      <c r="R7" s="10">
        <f>IF(K7&lt;=6600000,0,IF(AND(K7&gt;6600000,K7&lt;=6950000),0.25,IF(AND(K7&gt;6950000,K7&lt;=7350000),0.5,IF(AND(K7&gt;7350000,K7&lt;=7800000),0.75,IF(AND(K7&gt;7800000,K7&lt;=8850000),1,IF(AND(K7&gt;8850000,K7&lt;=9800000),1.25,IF(AND(K7&gt;9800000,K7&lt;=10950000),1.5,IF(AND(K7&gt;10950000,K7&lt;=11200000),1.75,IF(AND(K7&gt;11200000,K7&lt;=12050000),2,IF(AND(K7&gt;12050000,K7&lt;=12950000),3,IF(AND(K7&gt;12950000,K7&lt;=14150000),4,IF(AND(K7&gt;14150000,K7&lt;=15550000),5,IF(AND(K7&gt;15550000,K7&lt;=17050000),6,IF(AND(K7&gt;17050000,K7&lt;=19500000),7,IF(AND(K7&gt;19500000,K7&lt;=22700000),8,IF(AND(K7&gt;22700000,K7&lt;=26600000),9,IF(AND(K7&gt;26600000,K7&lt;=28100000),10,IF(AND(K7&gt;28100000,K7&lt;=30100000),11,IF(AND(K7&gt;30100000,K7&lt;=32600000),12,IF(AND(K7&gt;32600000,K7&lt;=35400000),13,IF(AND(K7&gt;35400000,K7&lt;=38900000),14,IF(AND(K7&gt;38900000,K7&lt;=43000000),15,IF(AND(K7&gt;43000000,K7&lt;=47400000),16,IF(AND(K7&gt;47400000,K7&lt;=51200000),17,IF(AND(K7&gt;51200000,K7&lt;=55800000),18,IF(AND(K7&gt;55800000,K7&lt;=60400000),19,IF(AND(K7&gt;60400000,K7&lt;=66700000),20,IF(AND(K7&gt;66700000,K7&lt;=74500000),21,IF(AND(K7&gt;74500000,K7&lt;=83200000),22,IF(AND(K7&gt;83200000,K7&lt;=95600000),23,IF(AND(K7&gt;95600000,K7&lt;=110000000),24,IF(AND(K7&gt;110000000,K7&lt;=134000000),25,IF(AND(K7&gt;134000000,K7&lt;=169000000),26,IF(AND(K7&gt;169000000,K7&lt;=221000000),27,IF(AND(K7&gt;221000000,K7&lt;=390000000),28,IF(AND(K7&gt;390000000,K7&lt;=463000000),29,IF(AND(K7&gt;463000000,K7&lt;=561000000),30,IF(AND(K7&gt;561000000,K7&lt;=709000000),31,IF(AND(K7&gt;709000000,K7&lt;=965000000),32,IF(AND(K7&gt;965000000,K7&lt;=1419000000),33,34))))))))))))))))))))))))))))))))))))))))</f>
        <v>0</v>
      </c>
      <c r="S7" s="10"/>
      <c r="T7" s="10"/>
      <c r="U7" s="10"/>
    </row>
    <row r="8" spans="1:21">
      <c r="D8" s="1"/>
      <c r="F8" s="1"/>
      <c r="G8" s="1"/>
      <c r="H8" s="1"/>
      <c r="I8" s="1"/>
      <c r="J8" s="1"/>
      <c r="L8">
        <f>IF(OR(G8="TK/0",G8="TK/1",G8="K/0",G8="HB/0",G8="HB/1"),P8,IF(OR(G8="TK/2",G8="TK/3",G8="K/1",G8="K/2",G8="HB/2",G8="HB/3"),Q8,R8))</f>
        <v>0</v>
      </c>
      <c r="M8" s="1"/>
      <c r="N8" s="2"/>
      <c r="P8" s="10">
        <f>IF(K8&lt;=5400000,0,IF(AND(K8&gt;5400000,K8&lt;=5650000),0.25,IF(AND(K8&gt;5650000,K8&lt;=5950000),0.5,IF(AND(K8&gt;5950000,K8&lt;=6300000),0.75,IF(AND(K8&gt;6300000,K8&lt;=6750000),1,IF(AND(K8&gt;6750000,K8&lt;=7500000),1.25,IF(AND(K8&gt;7500000,K8&lt;=8550000),1.5,IF(AND(K8&gt;8550000,K8&lt;=9650000),1.75,IF(AND(K8&gt;9650000,K8&lt;=10050000),2,IF(AND(K8&gt;10050000,K8&lt;=10350000),2.25,IF(AND(K8&gt;10350000,K8&lt;=10700000),2.5,IF(AND(K8&gt;10700000,K8&lt;=11050000),3,IF(AND(K8&gt;11050000,K8&lt;=11600000),3.5,IF(AND(K8&gt;11600000,K8&lt;=12500000),4,IF(AND(K8&gt;12500000,K8&lt;=13750000),5,IF(AND(K8&gt;13750000,K8&lt;=15100000),6,IF(AND(K8&gt;15100000,K8&lt;=16950000),7,IF(AND(K8&gt;16950000,K8&lt;=19750000),8,IF(AND(K8&gt;19750000,K8&lt;=24150000),9,IF(AND(K8&gt;24150000,K8&lt;=26450000),10,IF(AND(K8&gt;26450000,K8&lt;=28000000),11,IF(AND(K8&gt;28000000,K8&lt;=30050000),12,IF(AND(K8&gt;30050000,K8&lt;=32400000),13,IF(AND(K8&gt;32400000,K8&lt;=35400000),14,IF(AND(K8&gt;35400000,K8&lt;=39100000),15,IF(AND(K8&gt;39100000,K8&lt;=43850000),16,IF(AND(K8&gt;43850000,K8&lt;=47800000),17,IF(AND(K8&gt;47800000,K8&lt;=51400000),18,IF(AND(K8&gt;51400000,K8&lt;=56300000),19,IF(AND(K8&gt;56300000,K8&lt;=62200000),20,IF(AND(K8&gt;62200000,K8&lt;=68600000),21,IF(AND(K8&gt;68600000,K8&lt;=77500000),22,IF(AND(K8&gt;77500000,K8&lt;=89000000),23,IF(AND(K8&gt;89000000,K8&lt;=103000000),24,IF(AND(K8&gt;103000000,K8&lt;=125000000),25,IF(AND(K8&gt;125000000,K8&lt;=157000000),26,IF(AND(K8&gt;157000000,K8&lt;=206000000),27,IF(AND(K8&gt;206000000,K8&lt;=337000000),28,IF(AND(K8&gt;337000000,K8&lt;=454000000),29,IF(AND(K8&gt;454000000,K8&lt;=550000000),30,IF(AND(K8&gt;550000000,K8&lt;=695000000),31,IF(AND(K8&gt;695000000,K8&lt;=910000000),32,IF(AND(K8&gt;910000000,K8&lt;=1400000000),33,34)))))))))))))))))))))))))))))))))))))))))))</f>
        <v>0</v>
      </c>
      <c r="Q8" s="10">
        <f>IF(K8&lt;=6200000,0,IF(AND(K8&gt;6200000,K8&lt;=6500000),0.25,IF(AND(K8&gt;6500000,K8&lt;=6850000),0.5,IF(AND(K8&gt;6850000,K8&lt;=7300000),0.75,IF(AND(K8&gt;7300000,K8&lt;=9200000),1,IF(AND(K8&gt;9200000,K8&lt;=10750000),1.5,IF(AND(K8&gt;10750000,K8&lt;=11250000),2,IF(AND(K8&gt;11250000,K8&lt;=11600000),2.5,IF(AND(K8&gt;11600000,K8&lt;=12600000),3,IF(AND(K8&gt;12600000,K8&lt;=13600000),4,IF(AND(K8&gt;13600000,K8&lt;=14950000),5,IF(AND(K8&gt;14950000,K8&lt;=16400000),6,IF(AND(K8&gt;16400000,K8&lt;=18450000),7,IF(AND(K8&gt;18450000,K8&lt;=21850000),8,IF(AND(K8&gt;21850000,K8&lt;=26000000),9,IF(AND(K8&gt;26000000,K8&lt;=27700000),10,IF(AND(K8&gt;27700000,K8&lt;=29350000),11,IF(AND(K8&gt;29350000,K8&lt;=31450000),12,IF(AND(K8&gt;31450000,K8&lt;=33950000),13,IF(AND(K8&gt;33950000,K8&lt;=37100000),14,IF(AND(K8&gt;37100000,K8&lt;=41100000),15,IF(AND(K8&gt;41100000,K8&lt;=45800000),16,IF(AND(K8&gt;45800000,K8&lt;=49500000),17,IF(AND(K8&gt;49500000,K8&lt;=53800000),18,IF(AND(K8&gt;53800000,K8&lt;=58500000),19,IF(AND(K8&gt;58500000,K8&lt;=64000000),20,IF(AND(K8&gt;64000000,K8&lt;=71000000),21,IF(AND(K8&gt;71000000,K8&lt;=80000000),22,IF(AND(K8&gt;80000000,K8&lt;=93000000),23,IF(AND(K8&gt;93000000,K8&lt;=109000000),24,IF(AND(K8&gt;109000000,K8&lt;=129000000),25,IF(AND(K8&gt;129000000,K8&lt;=163000000),26,IF(AND(K8&gt;163000000,K8&lt;=211000000),27,IF(AND(K8&gt;211000000,K8&lt;=374000000),28,IF(AND(K8&gt;374000000,K8&lt;=459000000),29,IF(AND(K8&gt;459000000,K8&lt;=555000000),30,IF(AND(K8&gt;555000000,K8&lt;=704000000),31,IF(AND(K8&gt;704000000,K8&lt;=957000000),32,IF(AND(K8&gt;957000000,K8&lt;=1405000000),33,34)))))))))))))))))))))))))))))))))))))))</f>
        <v>0</v>
      </c>
      <c r="R8" s="10">
        <f>IF(K8&lt;=6600000,0,IF(AND(K8&gt;6600000,K8&lt;=6950000),0.25,IF(AND(K8&gt;6950000,K8&lt;=7350000),0.5,IF(AND(K8&gt;7350000,K8&lt;=7800000),0.75,IF(AND(K8&gt;7800000,K8&lt;=8850000),1,IF(AND(K8&gt;8850000,K8&lt;=9800000),1.25,IF(AND(K8&gt;9800000,K8&lt;=10950000),1.5,IF(AND(K8&gt;10950000,K8&lt;=11200000),1.75,IF(AND(K8&gt;11200000,K8&lt;=12050000),2,IF(AND(K8&gt;12050000,K8&lt;=12950000),3,IF(AND(K8&gt;12950000,K8&lt;=14150000),4,IF(AND(K8&gt;14150000,K8&lt;=15550000),5,IF(AND(K8&gt;15550000,K8&lt;=17050000),6,IF(AND(K8&gt;17050000,K8&lt;=19500000),7,IF(AND(K8&gt;19500000,K8&lt;=22700000),8,IF(AND(K8&gt;22700000,K8&lt;=26600000),9,IF(AND(K8&gt;26600000,K8&lt;=28100000),10,IF(AND(K8&gt;28100000,K8&lt;=30100000),11,IF(AND(K8&gt;30100000,K8&lt;=32600000),12,IF(AND(K8&gt;32600000,K8&lt;=35400000),13,IF(AND(K8&gt;35400000,K8&lt;=38900000),14,IF(AND(K8&gt;38900000,K8&lt;=43000000),15,IF(AND(K8&gt;43000000,K8&lt;=47400000),16,IF(AND(K8&gt;47400000,K8&lt;=51200000),17,IF(AND(K8&gt;51200000,K8&lt;=55800000),18,IF(AND(K8&gt;55800000,K8&lt;=60400000),19,IF(AND(K8&gt;60400000,K8&lt;=66700000),20,IF(AND(K8&gt;66700000,K8&lt;=74500000),21,IF(AND(K8&gt;74500000,K8&lt;=83200000),22,IF(AND(K8&gt;83200000,K8&lt;=95600000),23,IF(AND(K8&gt;95600000,K8&lt;=110000000),24,IF(AND(K8&gt;110000000,K8&lt;=134000000),25,IF(AND(K8&gt;134000000,K8&lt;=169000000),26,IF(AND(K8&gt;169000000,K8&lt;=221000000),27,IF(AND(K8&gt;221000000,K8&lt;=390000000),28,IF(AND(K8&gt;390000000,K8&lt;=463000000),29,IF(AND(K8&gt;463000000,K8&lt;=561000000),30,IF(AND(K8&gt;561000000,K8&lt;=709000000),31,IF(AND(K8&gt;709000000,K8&lt;=965000000),32,IF(AND(K8&gt;965000000,K8&lt;=1419000000),33,34))))))))))))))))))))))))))))))))))))))))</f>
        <v>0</v>
      </c>
      <c r="S8" s="10"/>
      <c r="T8" s="10"/>
      <c r="U8" s="10"/>
    </row>
    <row r="9" spans="1:21">
      <c r="D9" s="1"/>
      <c r="E9" s="1"/>
      <c r="G9" s="1"/>
      <c r="H9" s="1"/>
      <c r="I9" s="1"/>
      <c r="J9" s="1"/>
      <c r="L9">
        <f>IF(OR(G9="TK/0",G9="TK/1",G9="K/0",G9="HB/0",G9="HB/1"),P9,IF(OR(G9="TK/2",G9="TK/3",G9="K/1",G9="K/2",G9="HB/2",G9="HB/3"),Q9,R9))</f>
        <v>0</v>
      </c>
      <c r="M9" s="1"/>
      <c r="N9" s="2"/>
      <c r="P9" s="10">
        <f>IF(K9&lt;=5400000,0,IF(AND(K9&gt;5400000,K9&lt;=5650000),0.25,IF(AND(K9&gt;5650000,K9&lt;=5950000),0.5,IF(AND(K9&gt;5950000,K9&lt;=6300000),0.75,IF(AND(K9&gt;6300000,K9&lt;=6750000),1,IF(AND(K9&gt;6750000,K9&lt;=7500000),1.25,IF(AND(K9&gt;7500000,K9&lt;=8550000),1.5,IF(AND(K9&gt;8550000,K9&lt;=9650000),1.75,IF(AND(K9&gt;9650000,K9&lt;=10050000),2,IF(AND(K9&gt;10050000,K9&lt;=10350000),2.25,IF(AND(K9&gt;10350000,K9&lt;=10700000),2.5,IF(AND(K9&gt;10700000,K9&lt;=11050000),3,IF(AND(K9&gt;11050000,K9&lt;=11600000),3.5,IF(AND(K9&gt;11600000,K9&lt;=12500000),4,IF(AND(K9&gt;12500000,K9&lt;=13750000),5,IF(AND(K9&gt;13750000,K9&lt;=15100000),6,IF(AND(K9&gt;15100000,K9&lt;=16950000),7,IF(AND(K9&gt;16950000,K9&lt;=19750000),8,IF(AND(K9&gt;19750000,K9&lt;=24150000),9,IF(AND(K9&gt;24150000,K9&lt;=26450000),10,IF(AND(K9&gt;26450000,K9&lt;=28000000),11,IF(AND(K9&gt;28000000,K9&lt;=30050000),12,IF(AND(K9&gt;30050000,K9&lt;=32400000),13,IF(AND(K9&gt;32400000,K9&lt;=35400000),14,IF(AND(K9&gt;35400000,K9&lt;=39100000),15,IF(AND(K9&gt;39100000,K9&lt;=43850000),16,IF(AND(K9&gt;43850000,K9&lt;=47800000),17,IF(AND(K9&gt;47800000,K9&lt;=51400000),18,IF(AND(K9&gt;51400000,K9&lt;=56300000),19,IF(AND(K9&gt;56300000,K9&lt;=62200000),20,IF(AND(K9&gt;62200000,K9&lt;=68600000),21,IF(AND(K9&gt;68600000,K9&lt;=77500000),22,IF(AND(K9&gt;77500000,K9&lt;=89000000),23,IF(AND(K9&gt;89000000,K9&lt;=103000000),24,IF(AND(K9&gt;103000000,K9&lt;=125000000),25,IF(AND(K9&gt;125000000,K9&lt;=157000000),26,IF(AND(K9&gt;157000000,K9&lt;=206000000),27,IF(AND(K9&gt;206000000,K9&lt;=337000000),28,IF(AND(K9&gt;337000000,K9&lt;=454000000),29,IF(AND(K9&gt;454000000,K9&lt;=550000000),30,IF(AND(K9&gt;550000000,K9&lt;=695000000),31,IF(AND(K9&gt;695000000,K9&lt;=910000000),32,IF(AND(K9&gt;910000000,K9&lt;=1400000000),33,34)))))))))))))))))))))))))))))))))))))))))))</f>
        <v>0</v>
      </c>
      <c r="Q9" s="10">
        <f>IF(K9&lt;=6200000,0,IF(AND(K9&gt;6200000,K9&lt;=6500000),0.25,IF(AND(K9&gt;6500000,K9&lt;=6850000),0.5,IF(AND(K9&gt;6850000,K9&lt;=7300000),0.75,IF(AND(K9&gt;7300000,K9&lt;=9200000),1,IF(AND(K9&gt;9200000,K9&lt;=10750000),1.5,IF(AND(K9&gt;10750000,K9&lt;=11250000),2,IF(AND(K9&gt;11250000,K9&lt;=11600000),2.5,IF(AND(K9&gt;11600000,K9&lt;=12600000),3,IF(AND(K9&gt;12600000,K9&lt;=13600000),4,IF(AND(K9&gt;13600000,K9&lt;=14950000),5,IF(AND(K9&gt;14950000,K9&lt;=16400000),6,IF(AND(K9&gt;16400000,K9&lt;=18450000),7,IF(AND(K9&gt;18450000,K9&lt;=21850000),8,IF(AND(K9&gt;21850000,K9&lt;=26000000),9,IF(AND(K9&gt;26000000,K9&lt;=27700000),10,IF(AND(K9&gt;27700000,K9&lt;=29350000),11,IF(AND(K9&gt;29350000,K9&lt;=31450000),12,IF(AND(K9&gt;31450000,K9&lt;=33950000),13,IF(AND(K9&gt;33950000,K9&lt;=37100000),14,IF(AND(K9&gt;37100000,K9&lt;=41100000),15,IF(AND(K9&gt;41100000,K9&lt;=45800000),16,IF(AND(K9&gt;45800000,K9&lt;=49500000),17,IF(AND(K9&gt;49500000,K9&lt;=53800000),18,IF(AND(K9&gt;53800000,K9&lt;=58500000),19,IF(AND(K9&gt;58500000,K9&lt;=64000000),20,IF(AND(K9&gt;64000000,K9&lt;=71000000),21,IF(AND(K9&gt;71000000,K9&lt;=80000000),22,IF(AND(K9&gt;80000000,K9&lt;=93000000),23,IF(AND(K9&gt;93000000,K9&lt;=109000000),24,IF(AND(K9&gt;109000000,K9&lt;=129000000),25,IF(AND(K9&gt;129000000,K9&lt;=163000000),26,IF(AND(K9&gt;163000000,K9&lt;=211000000),27,IF(AND(K9&gt;211000000,K9&lt;=374000000),28,IF(AND(K9&gt;374000000,K9&lt;=459000000),29,IF(AND(K9&gt;459000000,K9&lt;=555000000),30,IF(AND(K9&gt;555000000,K9&lt;=704000000),31,IF(AND(K9&gt;704000000,K9&lt;=957000000),32,IF(AND(K9&gt;957000000,K9&lt;=1405000000),33,34)))))))))))))))))))))))))))))))))))))))</f>
        <v>0</v>
      </c>
      <c r="R9" s="10">
        <f>IF(K9&lt;=6600000,0,IF(AND(K9&gt;6600000,K9&lt;=6950000),0.25,IF(AND(K9&gt;6950000,K9&lt;=7350000),0.5,IF(AND(K9&gt;7350000,K9&lt;=7800000),0.75,IF(AND(K9&gt;7800000,K9&lt;=8850000),1,IF(AND(K9&gt;8850000,K9&lt;=9800000),1.25,IF(AND(K9&gt;9800000,K9&lt;=10950000),1.5,IF(AND(K9&gt;10950000,K9&lt;=11200000),1.75,IF(AND(K9&gt;11200000,K9&lt;=12050000),2,IF(AND(K9&gt;12050000,K9&lt;=12950000),3,IF(AND(K9&gt;12950000,K9&lt;=14150000),4,IF(AND(K9&gt;14150000,K9&lt;=15550000),5,IF(AND(K9&gt;15550000,K9&lt;=17050000),6,IF(AND(K9&gt;17050000,K9&lt;=19500000),7,IF(AND(K9&gt;19500000,K9&lt;=22700000),8,IF(AND(K9&gt;22700000,K9&lt;=26600000),9,IF(AND(K9&gt;26600000,K9&lt;=28100000),10,IF(AND(K9&gt;28100000,K9&lt;=30100000),11,IF(AND(K9&gt;30100000,K9&lt;=32600000),12,IF(AND(K9&gt;32600000,K9&lt;=35400000),13,IF(AND(K9&gt;35400000,K9&lt;=38900000),14,IF(AND(K9&gt;38900000,K9&lt;=43000000),15,IF(AND(K9&gt;43000000,K9&lt;=47400000),16,IF(AND(K9&gt;47400000,K9&lt;=51200000),17,IF(AND(K9&gt;51200000,K9&lt;=55800000),18,IF(AND(K9&gt;55800000,K9&lt;=60400000),19,IF(AND(K9&gt;60400000,K9&lt;=66700000),20,IF(AND(K9&gt;66700000,K9&lt;=74500000),21,IF(AND(K9&gt;74500000,K9&lt;=83200000),22,IF(AND(K9&gt;83200000,K9&lt;=95600000),23,IF(AND(K9&gt;95600000,K9&lt;=110000000),24,IF(AND(K9&gt;110000000,K9&lt;=134000000),25,IF(AND(K9&gt;134000000,K9&lt;=169000000),26,IF(AND(K9&gt;169000000,K9&lt;=221000000),27,IF(AND(K9&gt;221000000,K9&lt;=390000000),28,IF(AND(K9&gt;390000000,K9&lt;=463000000),29,IF(AND(K9&gt;463000000,K9&lt;=561000000),30,IF(AND(K9&gt;561000000,K9&lt;=709000000),31,IF(AND(K9&gt;709000000,K9&lt;=965000000),32,IF(AND(K9&gt;965000000,K9&lt;=1419000000),33,34))))))))))))))))))))))))))))))))))))))))</f>
        <v>0</v>
      </c>
      <c r="S9" s="10"/>
      <c r="T9" s="10"/>
    </row>
    <row r="10" spans="1:21">
      <c r="D10" s="1"/>
      <c r="E10" s="1"/>
      <c r="G10" s="1"/>
      <c r="H10" s="1"/>
      <c r="I10" s="1"/>
      <c r="J10" s="1"/>
      <c r="L10">
        <f>IF(OR(G10="TK/0",G10="TK/1",G10="K/0",G10="HB/0",G10="HB/1"),P10,IF(OR(G10="TK/2",G10="TK/3",G10="K/1",G10="K/2",G10="HB/2",G10="HB/3"),Q10,R10))</f>
        <v>0</v>
      </c>
      <c r="M10" s="1"/>
      <c r="N10" s="2"/>
      <c r="P10" s="10">
        <f>IF(K10&lt;=5400000,0,IF(AND(K10&gt;5400000,K10&lt;=5650000),0.25,IF(AND(K10&gt;5650000,K10&lt;=5950000),0.5,IF(AND(K10&gt;5950000,K10&lt;=6300000),0.75,IF(AND(K10&gt;6300000,K10&lt;=6750000),1,IF(AND(K10&gt;6750000,K10&lt;=7500000),1.25,IF(AND(K10&gt;7500000,K10&lt;=8550000),1.5,IF(AND(K10&gt;8550000,K10&lt;=9650000),1.75,IF(AND(K10&gt;9650000,K10&lt;=10050000),2,IF(AND(K10&gt;10050000,K10&lt;=10350000),2.25,IF(AND(K10&gt;10350000,K10&lt;=10700000),2.5,IF(AND(K10&gt;10700000,K10&lt;=11050000),3,IF(AND(K10&gt;11050000,K10&lt;=11600000),3.5,IF(AND(K10&gt;11600000,K10&lt;=12500000),4,IF(AND(K10&gt;12500000,K10&lt;=13750000),5,IF(AND(K10&gt;13750000,K10&lt;=15100000),6,IF(AND(K10&gt;15100000,K10&lt;=16950000),7,IF(AND(K10&gt;16950000,K10&lt;=19750000),8,IF(AND(K10&gt;19750000,K10&lt;=24150000),9,IF(AND(K10&gt;24150000,K10&lt;=26450000),10,IF(AND(K10&gt;26450000,K10&lt;=28000000),11,IF(AND(K10&gt;28000000,K10&lt;=30050000),12,IF(AND(K10&gt;30050000,K10&lt;=32400000),13,IF(AND(K10&gt;32400000,K10&lt;=35400000),14,IF(AND(K10&gt;35400000,K10&lt;=39100000),15,IF(AND(K10&gt;39100000,K10&lt;=43850000),16,IF(AND(K10&gt;43850000,K10&lt;=47800000),17,IF(AND(K10&gt;47800000,K10&lt;=51400000),18,IF(AND(K10&gt;51400000,K10&lt;=56300000),19,IF(AND(K10&gt;56300000,K10&lt;=62200000),20,IF(AND(K10&gt;62200000,K10&lt;=68600000),21,IF(AND(K10&gt;68600000,K10&lt;=77500000),22,IF(AND(K10&gt;77500000,K10&lt;=89000000),23,IF(AND(K10&gt;89000000,K10&lt;=103000000),24,IF(AND(K10&gt;103000000,K10&lt;=125000000),25,IF(AND(K10&gt;125000000,K10&lt;=157000000),26,IF(AND(K10&gt;157000000,K10&lt;=206000000),27,IF(AND(K10&gt;206000000,K10&lt;=337000000),28,IF(AND(K10&gt;337000000,K10&lt;=454000000),29,IF(AND(K10&gt;454000000,K10&lt;=550000000),30,IF(AND(K10&gt;550000000,K10&lt;=695000000),31,IF(AND(K10&gt;695000000,K10&lt;=910000000),32,IF(AND(K10&gt;910000000,K10&lt;=1400000000),33,34)))))))))))))))))))))))))))))))))))))))))))</f>
        <v>0</v>
      </c>
      <c r="Q10" s="10">
        <f>IF(K10&lt;=6200000,0,IF(AND(K10&gt;6200000,K10&lt;=6500000),0.25,IF(AND(K10&gt;6500000,K10&lt;=6850000),0.5,IF(AND(K10&gt;6850000,K10&lt;=7300000),0.75,IF(AND(K10&gt;7300000,K10&lt;=9200000),1,IF(AND(K10&gt;9200000,K10&lt;=10750000),1.5,IF(AND(K10&gt;10750000,K10&lt;=11250000),2,IF(AND(K10&gt;11250000,K10&lt;=11600000),2.5,IF(AND(K10&gt;11600000,K10&lt;=12600000),3,IF(AND(K10&gt;12600000,K10&lt;=13600000),4,IF(AND(K10&gt;13600000,K10&lt;=14950000),5,IF(AND(K10&gt;14950000,K10&lt;=16400000),6,IF(AND(K10&gt;16400000,K10&lt;=18450000),7,IF(AND(K10&gt;18450000,K10&lt;=21850000),8,IF(AND(K10&gt;21850000,K10&lt;=26000000),9,IF(AND(K10&gt;26000000,K10&lt;=27700000),10,IF(AND(K10&gt;27700000,K10&lt;=29350000),11,IF(AND(K10&gt;29350000,K10&lt;=31450000),12,IF(AND(K10&gt;31450000,K10&lt;=33950000),13,IF(AND(K10&gt;33950000,K10&lt;=37100000),14,IF(AND(K10&gt;37100000,K10&lt;=41100000),15,IF(AND(K10&gt;41100000,K10&lt;=45800000),16,IF(AND(K10&gt;45800000,K10&lt;=49500000),17,IF(AND(K10&gt;49500000,K10&lt;=53800000),18,IF(AND(K10&gt;53800000,K10&lt;=58500000),19,IF(AND(K10&gt;58500000,K10&lt;=64000000),20,IF(AND(K10&gt;64000000,K10&lt;=71000000),21,IF(AND(K10&gt;71000000,K10&lt;=80000000),22,IF(AND(K10&gt;80000000,K10&lt;=93000000),23,IF(AND(K10&gt;93000000,K10&lt;=109000000),24,IF(AND(K10&gt;109000000,K10&lt;=129000000),25,IF(AND(K10&gt;129000000,K10&lt;=163000000),26,IF(AND(K10&gt;163000000,K10&lt;=211000000),27,IF(AND(K10&gt;211000000,K10&lt;=374000000),28,IF(AND(K10&gt;374000000,K10&lt;=459000000),29,IF(AND(K10&gt;459000000,K10&lt;=555000000),30,IF(AND(K10&gt;555000000,K10&lt;=704000000),31,IF(AND(K10&gt;704000000,K10&lt;=957000000),32,IF(AND(K10&gt;957000000,K10&lt;=1405000000),33,34)))))))))))))))))))))))))))))))))))))))</f>
        <v>0</v>
      </c>
      <c r="R10" s="10">
        <f>IF(K10&lt;=6600000,0,IF(AND(K10&gt;6600000,K10&lt;=6950000),0.25,IF(AND(K10&gt;6950000,K10&lt;=7350000),0.5,IF(AND(K10&gt;7350000,K10&lt;=7800000),0.75,IF(AND(K10&gt;7800000,K10&lt;=8850000),1,IF(AND(K10&gt;8850000,K10&lt;=9800000),1.25,IF(AND(K10&gt;9800000,K10&lt;=10950000),1.5,IF(AND(K10&gt;10950000,K10&lt;=11200000),1.75,IF(AND(K10&gt;11200000,K10&lt;=12050000),2,IF(AND(K10&gt;12050000,K10&lt;=12950000),3,IF(AND(K10&gt;12950000,K10&lt;=14150000),4,IF(AND(K10&gt;14150000,K10&lt;=15550000),5,IF(AND(K10&gt;15550000,K10&lt;=17050000),6,IF(AND(K10&gt;17050000,K10&lt;=19500000),7,IF(AND(K10&gt;19500000,K10&lt;=22700000),8,IF(AND(K10&gt;22700000,K10&lt;=26600000),9,IF(AND(K10&gt;26600000,K10&lt;=28100000),10,IF(AND(K10&gt;28100000,K10&lt;=30100000),11,IF(AND(K10&gt;30100000,K10&lt;=32600000),12,IF(AND(K10&gt;32600000,K10&lt;=35400000),13,IF(AND(K10&gt;35400000,K10&lt;=38900000),14,IF(AND(K10&gt;38900000,K10&lt;=43000000),15,IF(AND(K10&gt;43000000,K10&lt;=47400000),16,IF(AND(K10&gt;47400000,K10&lt;=51200000),17,IF(AND(K10&gt;51200000,K10&lt;=55800000),18,IF(AND(K10&gt;55800000,K10&lt;=60400000),19,IF(AND(K10&gt;60400000,K10&lt;=66700000),20,IF(AND(K10&gt;66700000,K10&lt;=74500000),21,IF(AND(K10&gt;74500000,K10&lt;=83200000),22,IF(AND(K10&gt;83200000,K10&lt;=95600000),23,IF(AND(K10&gt;95600000,K10&lt;=110000000),24,IF(AND(K10&gt;110000000,K10&lt;=134000000),25,IF(AND(K10&gt;134000000,K10&lt;=169000000),26,IF(AND(K10&gt;169000000,K10&lt;=221000000),27,IF(AND(K10&gt;221000000,K10&lt;=390000000),28,IF(AND(K10&gt;390000000,K10&lt;=463000000),29,IF(AND(K10&gt;463000000,K10&lt;=561000000),30,IF(AND(K10&gt;561000000,K10&lt;=709000000),31,IF(AND(K10&gt;709000000,K10&lt;=965000000),32,IF(AND(K10&gt;965000000,K10&lt;=1419000000),33,34))))))))))))))))))))))))))))))))))))))))</f>
        <v>0</v>
      </c>
      <c r="S10" s="10"/>
      <c r="T10" s="10"/>
    </row>
    <row r="11" spans="1:21">
      <c r="D11" s="1"/>
      <c r="E11" s="1"/>
      <c r="G11" s="1"/>
      <c r="H11" s="1"/>
      <c r="I11" s="1"/>
      <c r="J11" s="1"/>
      <c r="L11">
        <f>IF(OR(G11="TK/0",G11="TK/1",G11="K/0",G11="HB/0",G11="HB/1"),P11,IF(OR(G11="TK/2",G11="TK/3",G11="K/1",G11="K/2",G11="HB/2",G11="HB/3"),Q11,R11))</f>
        <v>0</v>
      </c>
      <c r="M11" s="1"/>
      <c r="N11" s="2"/>
      <c r="P11" s="10">
        <f>IF(K11&lt;=5400000,0,IF(AND(K11&gt;5400000,K11&lt;=5650000),0.25,IF(AND(K11&gt;5650000,K11&lt;=5950000),0.5,IF(AND(K11&gt;5950000,K11&lt;=6300000),0.75,IF(AND(K11&gt;6300000,K11&lt;=6750000),1,IF(AND(K11&gt;6750000,K11&lt;=7500000),1.25,IF(AND(K11&gt;7500000,K11&lt;=8550000),1.5,IF(AND(K11&gt;8550000,K11&lt;=9650000),1.75,IF(AND(K11&gt;9650000,K11&lt;=10050000),2,IF(AND(K11&gt;10050000,K11&lt;=10350000),2.25,IF(AND(K11&gt;10350000,K11&lt;=10700000),2.5,IF(AND(K11&gt;10700000,K11&lt;=11050000),3,IF(AND(K11&gt;11050000,K11&lt;=11600000),3.5,IF(AND(K11&gt;11600000,K11&lt;=12500000),4,IF(AND(K11&gt;12500000,K11&lt;=13750000),5,IF(AND(K11&gt;13750000,K11&lt;=15100000),6,IF(AND(K11&gt;15100000,K11&lt;=16950000),7,IF(AND(K11&gt;16950000,K11&lt;=19750000),8,IF(AND(K11&gt;19750000,K11&lt;=24150000),9,IF(AND(K11&gt;24150000,K11&lt;=26450000),10,IF(AND(K11&gt;26450000,K11&lt;=28000000),11,IF(AND(K11&gt;28000000,K11&lt;=30050000),12,IF(AND(K11&gt;30050000,K11&lt;=32400000),13,IF(AND(K11&gt;32400000,K11&lt;=35400000),14,IF(AND(K11&gt;35400000,K11&lt;=39100000),15,IF(AND(K11&gt;39100000,K11&lt;=43850000),16,IF(AND(K11&gt;43850000,K11&lt;=47800000),17,IF(AND(K11&gt;47800000,K11&lt;=51400000),18,IF(AND(K11&gt;51400000,K11&lt;=56300000),19,IF(AND(K11&gt;56300000,K11&lt;=62200000),20,IF(AND(K11&gt;62200000,K11&lt;=68600000),21,IF(AND(K11&gt;68600000,K11&lt;=77500000),22,IF(AND(K11&gt;77500000,K11&lt;=89000000),23,IF(AND(K11&gt;89000000,K11&lt;=103000000),24,IF(AND(K11&gt;103000000,K11&lt;=125000000),25,IF(AND(K11&gt;125000000,K11&lt;=157000000),26,IF(AND(K11&gt;157000000,K11&lt;=206000000),27,IF(AND(K11&gt;206000000,K11&lt;=337000000),28,IF(AND(K11&gt;337000000,K11&lt;=454000000),29,IF(AND(K11&gt;454000000,K11&lt;=550000000),30,IF(AND(K11&gt;550000000,K11&lt;=695000000),31,IF(AND(K11&gt;695000000,K11&lt;=910000000),32,IF(AND(K11&gt;910000000,K11&lt;=1400000000),33,34)))))))))))))))))))))))))))))))))))))))))))</f>
        <v>0</v>
      </c>
      <c r="Q11" s="10">
        <f>IF(K11&lt;=6200000,0,IF(AND(K11&gt;6200000,K11&lt;=6500000),0.25,IF(AND(K11&gt;6500000,K11&lt;=6850000),0.5,IF(AND(K11&gt;6850000,K11&lt;=7300000),0.75,IF(AND(K11&gt;7300000,K11&lt;=9200000),1,IF(AND(K11&gt;9200000,K11&lt;=10750000),1.5,IF(AND(K11&gt;10750000,K11&lt;=11250000),2,IF(AND(K11&gt;11250000,K11&lt;=11600000),2.5,IF(AND(K11&gt;11600000,K11&lt;=12600000),3,IF(AND(K11&gt;12600000,K11&lt;=13600000),4,IF(AND(K11&gt;13600000,K11&lt;=14950000),5,IF(AND(K11&gt;14950000,K11&lt;=16400000),6,IF(AND(K11&gt;16400000,K11&lt;=18450000),7,IF(AND(K11&gt;18450000,K11&lt;=21850000),8,IF(AND(K11&gt;21850000,K11&lt;=26000000),9,IF(AND(K11&gt;26000000,K11&lt;=27700000),10,IF(AND(K11&gt;27700000,K11&lt;=29350000),11,IF(AND(K11&gt;29350000,K11&lt;=31450000),12,IF(AND(K11&gt;31450000,K11&lt;=33950000),13,IF(AND(K11&gt;33950000,K11&lt;=37100000),14,IF(AND(K11&gt;37100000,K11&lt;=41100000),15,IF(AND(K11&gt;41100000,K11&lt;=45800000),16,IF(AND(K11&gt;45800000,K11&lt;=49500000),17,IF(AND(K11&gt;49500000,K11&lt;=53800000),18,IF(AND(K11&gt;53800000,K11&lt;=58500000),19,IF(AND(K11&gt;58500000,K11&lt;=64000000),20,IF(AND(K11&gt;64000000,K11&lt;=71000000),21,IF(AND(K11&gt;71000000,K11&lt;=80000000),22,IF(AND(K11&gt;80000000,K11&lt;=93000000),23,IF(AND(K11&gt;93000000,K11&lt;=109000000),24,IF(AND(K11&gt;109000000,K11&lt;=129000000),25,IF(AND(K11&gt;129000000,K11&lt;=163000000),26,IF(AND(K11&gt;163000000,K11&lt;=211000000),27,IF(AND(K11&gt;211000000,K11&lt;=374000000),28,IF(AND(K11&gt;374000000,K11&lt;=459000000),29,IF(AND(K11&gt;459000000,K11&lt;=555000000),30,IF(AND(K11&gt;555000000,K11&lt;=704000000),31,IF(AND(K11&gt;704000000,K11&lt;=957000000),32,IF(AND(K11&gt;957000000,K11&lt;=1405000000),33,34)))))))))))))))))))))))))))))))))))))))</f>
        <v>0</v>
      </c>
      <c r="R11" s="10">
        <f>IF(K11&lt;=6600000,0,IF(AND(K11&gt;6600000,K11&lt;=6950000),0.25,IF(AND(K11&gt;6950000,K11&lt;=7350000),0.5,IF(AND(K11&gt;7350000,K11&lt;=7800000),0.75,IF(AND(K11&gt;7800000,K11&lt;=8850000),1,IF(AND(K11&gt;8850000,K11&lt;=9800000),1.25,IF(AND(K11&gt;9800000,K11&lt;=10950000),1.5,IF(AND(K11&gt;10950000,K11&lt;=11200000),1.75,IF(AND(K11&gt;11200000,K11&lt;=12050000),2,IF(AND(K11&gt;12050000,K11&lt;=12950000),3,IF(AND(K11&gt;12950000,K11&lt;=14150000),4,IF(AND(K11&gt;14150000,K11&lt;=15550000),5,IF(AND(K11&gt;15550000,K11&lt;=17050000),6,IF(AND(K11&gt;17050000,K11&lt;=19500000),7,IF(AND(K11&gt;19500000,K11&lt;=22700000),8,IF(AND(K11&gt;22700000,K11&lt;=26600000),9,IF(AND(K11&gt;26600000,K11&lt;=28100000),10,IF(AND(K11&gt;28100000,K11&lt;=30100000),11,IF(AND(K11&gt;30100000,K11&lt;=32600000),12,IF(AND(K11&gt;32600000,K11&lt;=35400000),13,IF(AND(K11&gt;35400000,K11&lt;=38900000),14,IF(AND(K11&gt;38900000,K11&lt;=43000000),15,IF(AND(K11&gt;43000000,K11&lt;=47400000),16,IF(AND(K11&gt;47400000,K11&lt;=51200000),17,IF(AND(K11&gt;51200000,K11&lt;=55800000),18,IF(AND(K11&gt;55800000,K11&lt;=60400000),19,IF(AND(K11&gt;60400000,K11&lt;=66700000),20,IF(AND(K11&gt;66700000,K11&lt;=74500000),21,IF(AND(K11&gt;74500000,K11&lt;=83200000),22,IF(AND(K11&gt;83200000,K11&lt;=95600000),23,IF(AND(K11&gt;95600000,K11&lt;=110000000),24,IF(AND(K11&gt;110000000,K11&lt;=134000000),25,IF(AND(K11&gt;134000000,K11&lt;=169000000),26,IF(AND(K11&gt;169000000,K11&lt;=221000000),27,IF(AND(K11&gt;221000000,K11&lt;=390000000),28,IF(AND(K11&gt;390000000,K11&lt;=463000000),29,IF(AND(K11&gt;463000000,K11&lt;=561000000),30,IF(AND(K11&gt;561000000,K11&lt;=709000000),31,IF(AND(K11&gt;709000000,K11&lt;=965000000),32,IF(AND(K11&gt;965000000,K11&lt;=1419000000),33,34))))))))))))))))))))))))))))))))))))))))</f>
        <v>0</v>
      </c>
      <c r="S11" s="10"/>
      <c r="T11" s="10"/>
    </row>
    <row r="12" spans="1:21">
      <c r="D12" s="1"/>
      <c r="E12" s="1"/>
      <c r="G12" s="1"/>
      <c r="H12" s="1"/>
      <c r="I12" s="1"/>
      <c r="J12" s="1"/>
      <c r="L12">
        <f>IF(OR(G12="TK/0",G12="TK/1",G12="K/0",G12="HB/0",G12="HB/1"),P12,IF(OR(G12="TK/2",G12="TK/3",G12="K/1",G12="K/2",G12="HB/2",G12="HB/3"),Q12,R12))</f>
        <v>0</v>
      </c>
      <c r="M12" s="1"/>
      <c r="N12" s="2"/>
      <c r="P12" s="10">
        <f>IF(K12&lt;=5400000,0,IF(AND(K12&gt;5400000,K12&lt;=5650000),0.25,IF(AND(K12&gt;5650000,K12&lt;=5950000),0.5,IF(AND(K12&gt;5950000,K12&lt;=6300000),0.75,IF(AND(K12&gt;6300000,K12&lt;=6750000),1,IF(AND(K12&gt;6750000,K12&lt;=7500000),1.25,IF(AND(K12&gt;7500000,K12&lt;=8550000),1.5,IF(AND(K12&gt;8550000,K12&lt;=9650000),1.75,IF(AND(K12&gt;9650000,K12&lt;=10050000),2,IF(AND(K12&gt;10050000,K12&lt;=10350000),2.25,IF(AND(K12&gt;10350000,K12&lt;=10700000),2.5,IF(AND(K12&gt;10700000,K12&lt;=11050000),3,IF(AND(K12&gt;11050000,K12&lt;=11600000),3.5,IF(AND(K12&gt;11600000,K12&lt;=12500000),4,IF(AND(K12&gt;12500000,K12&lt;=13750000),5,IF(AND(K12&gt;13750000,K12&lt;=15100000),6,IF(AND(K12&gt;15100000,K12&lt;=16950000),7,IF(AND(K12&gt;16950000,K12&lt;=19750000),8,IF(AND(K12&gt;19750000,K12&lt;=24150000),9,IF(AND(K12&gt;24150000,K12&lt;=26450000),10,IF(AND(K12&gt;26450000,K12&lt;=28000000),11,IF(AND(K12&gt;28000000,K12&lt;=30050000),12,IF(AND(K12&gt;30050000,K12&lt;=32400000),13,IF(AND(K12&gt;32400000,K12&lt;=35400000),14,IF(AND(K12&gt;35400000,K12&lt;=39100000),15,IF(AND(K12&gt;39100000,K12&lt;=43850000),16,IF(AND(K12&gt;43850000,K12&lt;=47800000),17,IF(AND(K12&gt;47800000,K12&lt;=51400000),18,IF(AND(K12&gt;51400000,K12&lt;=56300000),19,IF(AND(K12&gt;56300000,K12&lt;=62200000),20,IF(AND(K12&gt;62200000,K12&lt;=68600000),21,IF(AND(K12&gt;68600000,K12&lt;=77500000),22,IF(AND(K12&gt;77500000,K12&lt;=89000000),23,IF(AND(K12&gt;89000000,K12&lt;=103000000),24,IF(AND(K12&gt;103000000,K12&lt;=125000000),25,IF(AND(K12&gt;125000000,K12&lt;=157000000),26,IF(AND(K12&gt;157000000,K12&lt;=206000000),27,IF(AND(K12&gt;206000000,K12&lt;=337000000),28,IF(AND(K12&gt;337000000,K12&lt;=454000000),29,IF(AND(K12&gt;454000000,K12&lt;=550000000),30,IF(AND(K12&gt;550000000,K12&lt;=695000000),31,IF(AND(K12&gt;695000000,K12&lt;=910000000),32,IF(AND(K12&gt;910000000,K12&lt;=1400000000),33,34)))))))))))))))))))))))))))))))))))))))))))</f>
        <v>0</v>
      </c>
      <c r="Q12" s="10">
        <f>IF(K12&lt;=6200000,0,IF(AND(K12&gt;6200000,K12&lt;=6500000),0.25,IF(AND(K12&gt;6500000,K12&lt;=6850000),0.5,IF(AND(K12&gt;6850000,K12&lt;=7300000),0.75,IF(AND(K12&gt;7300000,K12&lt;=9200000),1,IF(AND(K12&gt;9200000,K12&lt;=10750000),1.5,IF(AND(K12&gt;10750000,K12&lt;=11250000),2,IF(AND(K12&gt;11250000,K12&lt;=11600000),2.5,IF(AND(K12&gt;11600000,K12&lt;=12600000),3,IF(AND(K12&gt;12600000,K12&lt;=13600000),4,IF(AND(K12&gt;13600000,K12&lt;=14950000),5,IF(AND(K12&gt;14950000,K12&lt;=16400000),6,IF(AND(K12&gt;16400000,K12&lt;=18450000),7,IF(AND(K12&gt;18450000,K12&lt;=21850000),8,IF(AND(K12&gt;21850000,K12&lt;=26000000),9,IF(AND(K12&gt;26000000,K12&lt;=27700000),10,IF(AND(K12&gt;27700000,K12&lt;=29350000),11,IF(AND(K12&gt;29350000,K12&lt;=31450000),12,IF(AND(K12&gt;31450000,K12&lt;=33950000),13,IF(AND(K12&gt;33950000,K12&lt;=37100000),14,IF(AND(K12&gt;37100000,K12&lt;=41100000),15,IF(AND(K12&gt;41100000,K12&lt;=45800000),16,IF(AND(K12&gt;45800000,K12&lt;=49500000),17,IF(AND(K12&gt;49500000,K12&lt;=53800000),18,IF(AND(K12&gt;53800000,K12&lt;=58500000),19,IF(AND(K12&gt;58500000,K12&lt;=64000000),20,IF(AND(K12&gt;64000000,K12&lt;=71000000),21,IF(AND(K12&gt;71000000,K12&lt;=80000000),22,IF(AND(K12&gt;80000000,K12&lt;=93000000),23,IF(AND(K12&gt;93000000,K12&lt;=109000000),24,IF(AND(K12&gt;109000000,K12&lt;=129000000),25,IF(AND(K12&gt;129000000,K12&lt;=163000000),26,IF(AND(K12&gt;163000000,K12&lt;=211000000),27,IF(AND(K12&gt;211000000,K12&lt;=374000000),28,IF(AND(K12&gt;374000000,K12&lt;=459000000),29,IF(AND(K12&gt;459000000,K12&lt;=555000000),30,IF(AND(K12&gt;555000000,K12&lt;=704000000),31,IF(AND(K12&gt;704000000,K12&lt;=957000000),32,IF(AND(K12&gt;957000000,K12&lt;=1405000000),33,34)))))))))))))))))))))))))))))))))))))))</f>
        <v>0</v>
      </c>
      <c r="R12" s="10">
        <f>IF(K12&lt;=6600000,0,IF(AND(K12&gt;6600000,K12&lt;=6950000),0.25,IF(AND(K12&gt;6950000,K12&lt;=7350000),0.5,IF(AND(K12&gt;7350000,K12&lt;=7800000),0.75,IF(AND(K12&gt;7800000,K12&lt;=8850000),1,IF(AND(K12&gt;8850000,K12&lt;=9800000),1.25,IF(AND(K12&gt;9800000,K12&lt;=10950000),1.5,IF(AND(K12&gt;10950000,K12&lt;=11200000),1.75,IF(AND(K12&gt;11200000,K12&lt;=12050000),2,IF(AND(K12&gt;12050000,K12&lt;=12950000),3,IF(AND(K12&gt;12950000,K12&lt;=14150000),4,IF(AND(K12&gt;14150000,K12&lt;=15550000),5,IF(AND(K12&gt;15550000,K12&lt;=17050000),6,IF(AND(K12&gt;17050000,K12&lt;=19500000),7,IF(AND(K12&gt;19500000,K12&lt;=22700000),8,IF(AND(K12&gt;22700000,K12&lt;=26600000),9,IF(AND(K12&gt;26600000,K12&lt;=28100000),10,IF(AND(K12&gt;28100000,K12&lt;=30100000),11,IF(AND(K12&gt;30100000,K12&lt;=32600000),12,IF(AND(K12&gt;32600000,K12&lt;=35400000),13,IF(AND(K12&gt;35400000,K12&lt;=38900000),14,IF(AND(K12&gt;38900000,K12&lt;=43000000),15,IF(AND(K12&gt;43000000,K12&lt;=47400000),16,IF(AND(K12&gt;47400000,K12&lt;=51200000),17,IF(AND(K12&gt;51200000,K12&lt;=55800000),18,IF(AND(K12&gt;55800000,K12&lt;=60400000),19,IF(AND(K12&gt;60400000,K12&lt;=66700000),20,IF(AND(K12&gt;66700000,K12&lt;=74500000),21,IF(AND(K12&gt;74500000,K12&lt;=83200000),22,IF(AND(K12&gt;83200000,K12&lt;=95600000),23,IF(AND(K12&gt;95600000,K12&lt;=110000000),24,IF(AND(K12&gt;110000000,K12&lt;=134000000),25,IF(AND(K12&gt;134000000,K12&lt;=169000000),26,IF(AND(K12&gt;169000000,K12&lt;=221000000),27,IF(AND(K12&gt;221000000,K12&lt;=390000000),28,IF(AND(K12&gt;390000000,K12&lt;=463000000),29,IF(AND(K12&gt;463000000,K12&lt;=561000000),30,IF(AND(K12&gt;561000000,K12&lt;=709000000),31,IF(AND(K12&gt;709000000,K12&lt;=965000000),32,IF(AND(K12&gt;965000000,K12&lt;=1419000000),33,34))))))))))))))))))))))))))))))))))))))))</f>
        <v>0</v>
      </c>
      <c r="S12" s="10"/>
      <c r="T12" s="10"/>
    </row>
    <row r="13" spans="1:21">
      <c r="D13" s="1"/>
      <c r="E13" s="1"/>
      <c r="G13" s="1"/>
      <c r="H13" s="1"/>
      <c r="I13" s="1"/>
      <c r="J13" s="1"/>
      <c r="L13">
        <f>IF(OR(G13="TK/0",G13="TK/1",G13="K/0",G13="HB/0",G13="HB/1"),P13,IF(OR(G13="TK/2",G13="TK/3",G13="K/1",G13="K/2",G13="HB/2",G13="HB/3"),Q13,R13))</f>
        <v>0</v>
      </c>
      <c r="M13" s="1"/>
      <c r="N13" s="2"/>
      <c r="P13" s="10">
        <f>IF(K13&lt;=5400000,0,IF(AND(K13&gt;5400000,K13&lt;=5650000),0.25,IF(AND(K13&gt;5650000,K13&lt;=5950000),0.5,IF(AND(K13&gt;5950000,K13&lt;=6300000),0.75,IF(AND(K13&gt;6300000,K13&lt;=6750000),1,IF(AND(K13&gt;6750000,K13&lt;=7500000),1.25,IF(AND(K13&gt;7500000,K13&lt;=8550000),1.5,IF(AND(K13&gt;8550000,K13&lt;=9650000),1.75,IF(AND(K13&gt;9650000,K13&lt;=10050000),2,IF(AND(K13&gt;10050000,K13&lt;=10350000),2.25,IF(AND(K13&gt;10350000,K13&lt;=10700000),2.5,IF(AND(K13&gt;10700000,K13&lt;=11050000),3,IF(AND(K13&gt;11050000,K13&lt;=11600000),3.5,IF(AND(K13&gt;11600000,K13&lt;=12500000),4,IF(AND(K13&gt;12500000,K13&lt;=13750000),5,IF(AND(K13&gt;13750000,K13&lt;=15100000),6,IF(AND(K13&gt;15100000,K13&lt;=16950000),7,IF(AND(K13&gt;16950000,K13&lt;=19750000),8,IF(AND(K13&gt;19750000,K13&lt;=24150000),9,IF(AND(K13&gt;24150000,K13&lt;=26450000),10,IF(AND(K13&gt;26450000,K13&lt;=28000000),11,IF(AND(K13&gt;28000000,K13&lt;=30050000),12,IF(AND(K13&gt;30050000,K13&lt;=32400000),13,IF(AND(K13&gt;32400000,K13&lt;=35400000),14,IF(AND(K13&gt;35400000,K13&lt;=39100000),15,IF(AND(K13&gt;39100000,K13&lt;=43850000),16,IF(AND(K13&gt;43850000,K13&lt;=47800000),17,IF(AND(K13&gt;47800000,K13&lt;=51400000),18,IF(AND(K13&gt;51400000,K13&lt;=56300000),19,IF(AND(K13&gt;56300000,K13&lt;=62200000),20,IF(AND(K13&gt;62200000,K13&lt;=68600000),21,IF(AND(K13&gt;68600000,K13&lt;=77500000),22,IF(AND(K13&gt;77500000,K13&lt;=89000000),23,IF(AND(K13&gt;89000000,K13&lt;=103000000),24,IF(AND(K13&gt;103000000,K13&lt;=125000000),25,IF(AND(K13&gt;125000000,K13&lt;=157000000),26,IF(AND(K13&gt;157000000,K13&lt;=206000000),27,IF(AND(K13&gt;206000000,K13&lt;=337000000),28,IF(AND(K13&gt;337000000,K13&lt;=454000000),29,IF(AND(K13&gt;454000000,K13&lt;=550000000),30,IF(AND(K13&gt;550000000,K13&lt;=695000000),31,IF(AND(K13&gt;695000000,K13&lt;=910000000),32,IF(AND(K13&gt;910000000,K13&lt;=1400000000),33,34)))))))))))))))))))))))))))))))))))))))))))</f>
        <v>0</v>
      </c>
      <c r="Q13" s="10">
        <f>IF(K13&lt;=6200000,0,IF(AND(K13&gt;6200000,K13&lt;=6500000),0.25,IF(AND(K13&gt;6500000,K13&lt;=6850000),0.5,IF(AND(K13&gt;6850000,K13&lt;=7300000),0.75,IF(AND(K13&gt;7300000,K13&lt;=9200000),1,IF(AND(K13&gt;9200000,K13&lt;=10750000),1.5,IF(AND(K13&gt;10750000,K13&lt;=11250000),2,IF(AND(K13&gt;11250000,K13&lt;=11600000),2.5,IF(AND(K13&gt;11600000,K13&lt;=12600000),3,IF(AND(K13&gt;12600000,K13&lt;=13600000),4,IF(AND(K13&gt;13600000,K13&lt;=14950000),5,IF(AND(K13&gt;14950000,K13&lt;=16400000),6,IF(AND(K13&gt;16400000,K13&lt;=18450000),7,IF(AND(K13&gt;18450000,K13&lt;=21850000),8,IF(AND(K13&gt;21850000,K13&lt;=26000000),9,IF(AND(K13&gt;26000000,K13&lt;=27700000),10,IF(AND(K13&gt;27700000,K13&lt;=29350000),11,IF(AND(K13&gt;29350000,K13&lt;=31450000),12,IF(AND(K13&gt;31450000,K13&lt;=33950000),13,IF(AND(K13&gt;33950000,K13&lt;=37100000),14,IF(AND(K13&gt;37100000,K13&lt;=41100000),15,IF(AND(K13&gt;41100000,K13&lt;=45800000),16,IF(AND(K13&gt;45800000,K13&lt;=49500000),17,IF(AND(K13&gt;49500000,K13&lt;=53800000),18,IF(AND(K13&gt;53800000,K13&lt;=58500000),19,IF(AND(K13&gt;58500000,K13&lt;=64000000),20,IF(AND(K13&gt;64000000,K13&lt;=71000000),21,IF(AND(K13&gt;71000000,K13&lt;=80000000),22,IF(AND(K13&gt;80000000,K13&lt;=93000000),23,IF(AND(K13&gt;93000000,K13&lt;=109000000),24,IF(AND(K13&gt;109000000,K13&lt;=129000000),25,IF(AND(K13&gt;129000000,K13&lt;=163000000),26,IF(AND(K13&gt;163000000,K13&lt;=211000000),27,IF(AND(K13&gt;211000000,K13&lt;=374000000),28,IF(AND(K13&gt;374000000,K13&lt;=459000000),29,IF(AND(K13&gt;459000000,K13&lt;=555000000),30,IF(AND(K13&gt;555000000,K13&lt;=704000000),31,IF(AND(K13&gt;704000000,K13&lt;=957000000),32,IF(AND(K13&gt;957000000,K13&lt;=1405000000),33,34)))))))))))))))))))))))))))))))))))))))</f>
        <v>0</v>
      </c>
      <c r="R13" s="10">
        <f>IF(K13&lt;=6600000,0,IF(AND(K13&gt;6600000,K13&lt;=6950000),0.25,IF(AND(K13&gt;6950000,K13&lt;=7350000),0.5,IF(AND(K13&gt;7350000,K13&lt;=7800000),0.75,IF(AND(K13&gt;7800000,K13&lt;=8850000),1,IF(AND(K13&gt;8850000,K13&lt;=9800000),1.25,IF(AND(K13&gt;9800000,K13&lt;=10950000),1.5,IF(AND(K13&gt;10950000,K13&lt;=11200000),1.75,IF(AND(K13&gt;11200000,K13&lt;=12050000),2,IF(AND(K13&gt;12050000,K13&lt;=12950000),3,IF(AND(K13&gt;12950000,K13&lt;=14150000),4,IF(AND(K13&gt;14150000,K13&lt;=15550000),5,IF(AND(K13&gt;15550000,K13&lt;=17050000),6,IF(AND(K13&gt;17050000,K13&lt;=19500000),7,IF(AND(K13&gt;19500000,K13&lt;=22700000),8,IF(AND(K13&gt;22700000,K13&lt;=26600000),9,IF(AND(K13&gt;26600000,K13&lt;=28100000),10,IF(AND(K13&gt;28100000,K13&lt;=30100000),11,IF(AND(K13&gt;30100000,K13&lt;=32600000),12,IF(AND(K13&gt;32600000,K13&lt;=35400000),13,IF(AND(K13&gt;35400000,K13&lt;=38900000),14,IF(AND(K13&gt;38900000,K13&lt;=43000000),15,IF(AND(K13&gt;43000000,K13&lt;=47400000),16,IF(AND(K13&gt;47400000,K13&lt;=51200000),17,IF(AND(K13&gt;51200000,K13&lt;=55800000),18,IF(AND(K13&gt;55800000,K13&lt;=60400000),19,IF(AND(K13&gt;60400000,K13&lt;=66700000),20,IF(AND(K13&gt;66700000,K13&lt;=74500000),21,IF(AND(K13&gt;74500000,K13&lt;=83200000),22,IF(AND(K13&gt;83200000,K13&lt;=95600000),23,IF(AND(K13&gt;95600000,K13&lt;=110000000),24,IF(AND(K13&gt;110000000,K13&lt;=134000000),25,IF(AND(K13&gt;134000000,K13&lt;=169000000),26,IF(AND(K13&gt;169000000,K13&lt;=221000000),27,IF(AND(K13&gt;221000000,K13&lt;=390000000),28,IF(AND(K13&gt;390000000,K13&lt;=463000000),29,IF(AND(K13&gt;463000000,K13&lt;=561000000),30,IF(AND(K13&gt;561000000,K13&lt;=709000000),31,IF(AND(K13&gt;709000000,K13&lt;=965000000),32,IF(AND(K13&gt;965000000,K13&lt;=1419000000),33,34))))))))))))))))))))))))))))))))))))))))</f>
        <v>0</v>
      </c>
      <c r="S13" s="10"/>
      <c r="T13" s="10"/>
    </row>
    <row r="14" spans="1:21">
      <c r="D14" s="1"/>
      <c r="E14" s="1"/>
      <c r="G14" s="1"/>
      <c r="H14" s="1"/>
      <c r="I14" s="1"/>
      <c r="J14" s="1"/>
      <c r="L14">
        <f>IF(OR(G14="TK/0",G14="TK/1",G14="K/0",G14="HB/0",G14="HB/1"),P14,IF(OR(G14="TK/2",G14="TK/3",G14="K/1",G14="K/2",G14="HB/2",G14="HB/3"),Q14,R14))</f>
        <v>0</v>
      </c>
      <c r="M14" s="1"/>
      <c r="N14" s="2"/>
      <c r="P14" s="10">
        <f>IF(K14&lt;=5400000,0,IF(AND(K14&gt;5400000,K14&lt;=5650000),0.25,IF(AND(K14&gt;5650000,K14&lt;=5950000),0.5,IF(AND(K14&gt;5950000,K14&lt;=6300000),0.75,IF(AND(K14&gt;6300000,K14&lt;=6750000),1,IF(AND(K14&gt;6750000,K14&lt;=7500000),1.25,IF(AND(K14&gt;7500000,K14&lt;=8550000),1.5,IF(AND(K14&gt;8550000,K14&lt;=9650000),1.75,IF(AND(K14&gt;9650000,K14&lt;=10050000),2,IF(AND(K14&gt;10050000,K14&lt;=10350000),2.25,IF(AND(K14&gt;10350000,K14&lt;=10700000),2.5,IF(AND(K14&gt;10700000,K14&lt;=11050000),3,IF(AND(K14&gt;11050000,K14&lt;=11600000),3.5,IF(AND(K14&gt;11600000,K14&lt;=12500000),4,IF(AND(K14&gt;12500000,K14&lt;=13750000),5,IF(AND(K14&gt;13750000,K14&lt;=15100000),6,IF(AND(K14&gt;15100000,K14&lt;=16950000),7,IF(AND(K14&gt;16950000,K14&lt;=19750000),8,IF(AND(K14&gt;19750000,K14&lt;=24150000),9,IF(AND(K14&gt;24150000,K14&lt;=26450000),10,IF(AND(K14&gt;26450000,K14&lt;=28000000),11,IF(AND(K14&gt;28000000,K14&lt;=30050000),12,IF(AND(K14&gt;30050000,K14&lt;=32400000),13,IF(AND(K14&gt;32400000,K14&lt;=35400000),14,IF(AND(K14&gt;35400000,K14&lt;=39100000),15,IF(AND(K14&gt;39100000,K14&lt;=43850000),16,IF(AND(K14&gt;43850000,K14&lt;=47800000),17,IF(AND(K14&gt;47800000,K14&lt;=51400000),18,IF(AND(K14&gt;51400000,K14&lt;=56300000),19,IF(AND(K14&gt;56300000,K14&lt;=62200000),20,IF(AND(K14&gt;62200000,K14&lt;=68600000),21,IF(AND(K14&gt;68600000,K14&lt;=77500000),22,IF(AND(K14&gt;77500000,K14&lt;=89000000),23,IF(AND(K14&gt;89000000,K14&lt;=103000000),24,IF(AND(K14&gt;103000000,K14&lt;=125000000),25,IF(AND(K14&gt;125000000,K14&lt;=157000000),26,IF(AND(K14&gt;157000000,K14&lt;=206000000),27,IF(AND(K14&gt;206000000,K14&lt;=337000000),28,IF(AND(K14&gt;337000000,K14&lt;=454000000),29,IF(AND(K14&gt;454000000,K14&lt;=550000000),30,IF(AND(K14&gt;550000000,K14&lt;=695000000),31,IF(AND(K14&gt;695000000,K14&lt;=910000000),32,IF(AND(K14&gt;910000000,K14&lt;=1400000000),33,34)))))))))))))))))))))))))))))))))))))))))))</f>
        <v>0</v>
      </c>
      <c r="Q14" s="10">
        <f>IF(K14&lt;=6200000,0,IF(AND(K14&gt;6200000,K14&lt;=6500000),0.25,IF(AND(K14&gt;6500000,K14&lt;=6850000),0.5,IF(AND(K14&gt;6850000,K14&lt;=7300000),0.75,IF(AND(K14&gt;7300000,K14&lt;=9200000),1,IF(AND(K14&gt;9200000,K14&lt;=10750000),1.5,IF(AND(K14&gt;10750000,K14&lt;=11250000),2,IF(AND(K14&gt;11250000,K14&lt;=11600000),2.5,IF(AND(K14&gt;11600000,K14&lt;=12600000),3,IF(AND(K14&gt;12600000,K14&lt;=13600000),4,IF(AND(K14&gt;13600000,K14&lt;=14950000),5,IF(AND(K14&gt;14950000,K14&lt;=16400000),6,IF(AND(K14&gt;16400000,K14&lt;=18450000),7,IF(AND(K14&gt;18450000,K14&lt;=21850000),8,IF(AND(K14&gt;21850000,K14&lt;=26000000),9,IF(AND(K14&gt;26000000,K14&lt;=27700000),10,IF(AND(K14&gt;27700000,K14&lt;=29350000),11,IF(AND(K14&gt;29350000,K14&lt;=31450000),12,IF(AND(K14&gt;31450000,K14&lt;=33950000),13,IF(AND(K14&gt;33950000,K14&lt;=37100000),14,IF(AND(K14&gt;37100000,K14&lt;=41100000),15,IF(AND(K14&gt;41100000,K14&lt;=45800000),16,IF(AND(K14&gt;45800000,K14&lt;=49500000),17,IF(AND(K14&gt;49500000,K14&lt;=53800000),18,IF(AND(K14&gt;53800000,K14&lt;=58500000),19,IF(AND(K14&gt;58500000,K14&lt;=64000000),20,IF(AND(K14&gt;64000000,K14&lt;=71000000),21,IF(AND(K14&gt;71000000,K14&lt;=80000000),22,IF(AND(K14&gt;80000000,K14&lt;=93000000),23,IF(AND(K14&gt;93000000,K14&lt;=109000000),24,IF(AND(K14&gt;109000000,K14&lt;=129000000),25,IF(AND(K14&gt;129000000,K14&lt;=163000000),26,IF(AND(K14&gt;163000000,K14&lt;=211000000),27,IF(AND(K14&gt;211000000,K14&lt;=374000000),28,IF(AND(K14&gt;374000000,K14&lt;=459000000),29,IF(AND(K14&gt;459000000,K14&lt;=555000000),30,IF(AND(K14&gt;555000000,K14&lt;=704000000),31,IF(AND(K14&gt;704000000,K14&lt;=957000000),32,IF(AND(K14&gt;957000000,K14&lt;=1405000000),33,34)))))))))))))))))))))))))))))))))))))))</f>
        <v>0</v>
      </c>
      <c r="R14" s="10">
        <f>IF(K14&lt;=6600000,0,IF(AND(K14&gt;6600000,K14&lt;=6950000),0.25,IF(AND(K14&gt;6950000,K14&lt;=7350000),0.5,IF(AND(K14&gt;7350000,K14&lt;=7800000),0.75,IF(AND(K14&gt;7800000,K14&lt;=8850000),1,IF(AND(K14&gt;8850000,K14&lt;=9800000),1.25,IF(AND(K14&gt;9800000,K14&lt;=10950000),1.5,IF(AND(K14&gt;10950000,K14&lt;=11200000),1.75,IF(AND(K14&gt;11200000,K14&lt;=12050000),2,IF(AND(K14&gt;12050000,K14&lt;=12950000),3,IF(AND(K14&gt;12950000,K14&lt;=14150000),4,IF(AND(K14&gt;14150000,K14&lt;=15550000),5,IF(AND(K14&gt;15550000,K14&lt;=17050000),6,IF(AND(K14&gt;17050000,K14&lt;=19500000),7,IF(AND(K14&gt;19500000,K14&lt;=22700000),8,IF(AND(K14&gt;22700000,K14&lt;=26600000),9,IF(AND(K14&gt;26600000,K14&lt;=28100000),10,IF(AND(K14&gt;28100000,K14&lt;=30100000),11,IF(AND(K14&gt;30100000,K14&lt;=32600000),12,IF(AND(K14&gt;32600000,K14&lt;=35400000),13,IF(AND(K14&gt;35400000,K14&lt;=38900000),14,IF(AND(K14&gt;38900000,K14&lt;=43000000),15,IF(AND(K14&gt;43000000,K14&lt;=47400000),16,IF(AND(K14&gt;47400000,K14&lt;=51200000),17,IF(AND(K14&gt;51200000,K14&lt;=55800000),18,IF(AND(K14&gt;55800000,K14&lt;=60400000),19,IF(AND(K14&gt;60400000,K14&lt;=66700000),20,IF(AND(K14&gt;66700000,K14&lt;=74500000),21,IF(AND(K14&gt;74500000,K14&lt;=83200000),22,IF(AND(K14&gt;83200000,K14&lt;=95600000),23,IF(AND(K14&gt;95600000,K14&lt;=110000000),24,IF(AND(K14&gt;110000000,K14&lt;=134000000),25,IF(AND(K14&gt;134000000,K14&lt;=169000000),26,IF(AND(K14&gt;169000000,K14&lt;=221000000),27,IF(AND(K14&gt;221000000,K14&lt;=390000000),28,IF(AND(K14&gt;390000000,K14&lt;=463000000),29,IF(AND(K14&gt;463000000,K14&lt;=561000000),30,IF(AND(K14&gt;561000000,K14&lt;=709000000),31,IF(AND(K14&gt;709000000,K14&lt;=965000000),32,IF(AND(K14&gt;965000000,K14&lt;=1419000000),33,34))))))))))))))))))))))))))))))))))))))))</f>
        <v>0</v>
      </c>
      <c r="S14" s="10"/>
      <c r="T14" s="10"/>
    </row>
    <row r="15" spans="1:21">
      <c r="D15" s="1"/>
      <c r="E15" s="1"/>
      <c r="G15" s="1"/>
      <c r="H15" s="1"/>
      <c r="I15" s="1"/>
      <c r="J15" s="1"/>
      <c r="L15">
        <f>IF(OR(G15="TK/0",G15="TK/1",G15="K/0",G15="HB/0",G15="HB/1"),P15,IF(OR(G15="TK/2",G15="TK/3",G15="K/1",G15="K/2",G15="HB/2",G15="HB/3"),Q15,R15))</f>
        <v>0</v>
      </c>
      <c r="M15" s="1"/>
      <c r="N15" s="2"/>
      <c r="P15" s="10">
        <f>IF(K15&lt;=5400000,0,IF(AND(K15&gt;5400000,K15&lt;=5650000),0.25,IF(AND(K15&gt;5650000,K15&lt;=5950000),0.5,IF(AND(K15&gt;5950000,K15&lt;=6300000),0.75,IF(AND(K15&gt;6300000,K15&lt;=6750000),1,IF(AND(K15&gt;6750000,K15&lt;=7500000),1.25,IF(AND(K15&gt;7500000,K15&lt;=8550000),1.5,IF(AND(K15&gt;8550000,K15&lt;=9650000),1.75,IF(AND(K15&gt;9650000,K15&lt;=10050000),2,IF(AND(K15&gt;10050000,K15&lt;=10350000),2.25,IF(AND(K15&gt;10350000,K15&lt;=10700000),2.5,IF(AND(K15&gt;10700000,K15&lt;=11050000),3,IF(AND(K15&gt;11050000,K15&lt;=11600000),3.5,IF(AND(K15&gt;11600000,K15&lt;=12500000),4,IF(AND(K15&gt;12500000,K15&lt;=13750000),5,IF(AND(K15&gt;13750000,K15&lt;=15100000),6,IF(AND(K15&gt;15100000,K15&lt;=16950000),7,IF(AND(K15&gt;16950000,K15&lt;=19750000),8,IF(AND(K15&gt;19750000,K15&lt;=24150000),9,IF(AND(K15&gt;24150000,K15&lt;=26450000),10,IF(AND(K15&gt;26450000,K15&lt;=28000000),11,IF(AND(K15&gt;28000000,K15&lt;=30050000),12,IF(AND(K15&gt;30050000,K15&lt;=32400000),13,IF(AND(K15&gt;32400000,K15&lt;=35400000),14,IF(AND(K15&gt;35400000,K15&lt;=39100000),15,IF(AND(K15&gt;39100000,K15&lt;=43850000),16,IF(AND(K15&gt;43850000,K15&lt;=47800000),17,IF(AND(K15&gt;47800000,K15&lt;=51400000),18,IF(AND(K15&gt;51400000,K15&lt;=56300000),19,IF(AND(K15&gt;56300000,K15&lt;=62200000),20,IF(AND(K15&gt;62200000,K15&lt;=68600000),21,IF(AND(K15&gt;68600000,K15&lt;=77500000),22,IF(AND(K15&gt;77500000,K15&lt;=89000000),23,IF(AND(K15&gt;89000000,K15&lt;=103000000),24,IF(AND(K15&gt;103000000,K15&lt;=125000000),25,IF(AND(K15&gt;125000000,K15&lt;=157000000),26,IF(AND(K15&gt;157000000,K15&lt;=206000000),27,IF(AND(K15&gt;206000000,K15&lt;=337000000),28,IF(AND(K15&gt;337000000,K15&lt;=454000000),29,IF(AND(K15&gt;454000000,K15&lt;=550000000),30,IF(AND(K15&gt;550000000,K15&lt;=695000000),31,IF(AND(K15&gt;695000000,K15&lt;=910000000),32,IF(AND(K15&gt;910000000,K15&lt;=1400000000),33,34)))))))))))))))))))))))))))))))))))))))))))</f>
        <v>0</v>
      </c>
      <c r="Q15" s="10">
        <f>IF(K15&lt;=6200000,0,IF(AND(K15&gt;6200000,K15&lt;=6500000),0.25,IF(AND(K15&gt;6500000,K15&lt;=6850000),0.5,IF(AND(K15&gt;6850000,K15&lt;=7300000),0.75,IF(AND(K15&gt;7300000,K15&lt;=9200000),1,IF(AND(K15&gt;9200000,K15&lt;=10750000),1.5,IF(AND(K15&gt;10750000,K15&lt;=11250000),2,IF(AND(K15&gt;11250000,K15&lt;=11600000),2.5,IF(AND(K15&gt;11600000,K15&lt;=12600000),3,IF(AND(K15&gt;12600000,K15&lt;=13600000),4,IF(AND(K15&gt;13600000,K15&lt;=14950000),5,IF(AND(K15&gt;14950000,K15&lt;=16400000),6,IF(AND(K15&gt;16400000,K15&lt;=18450000),7,IF(AND(K15&gt;18450000,K15&lt;=21850000),8,IF(AND(K15&gt;21850000,K15&lt;=26000000),9,IF(AND(K15&gt;26000000,K15&lt;=27700000),10,IF(AND(K15&gt;27700000,K15&lt;=29350000),11,IF(AND(K15&gt;29350000,K15&lt;=31450000),12,IF(AND(K15&gt;31450000,K15&lt;=33950000),13,IF(AND(K15&gt;33950000,K15&lt;=37100000),14,IF(AND(K15&gt;37100000,K15&lt;=41100000),15,IF(AND(K15&gt;41100000,K15&lt;=45800000),16,IF(AND(K15&gt;45800000,K15&lt;=49500000),17,IF(AND(K15&gt;49500000,K15&lt;=53800000),18,IF(AND(K15&gt;53800000,K15&lt;=58500000),19,IF(AND(K15&gt;58500000,K15&lt;=64000000),20,IF(AND(K15&gt;64000000,K15&lt;=71000000),21,IF(AND(K15&gt;71000000,K15&lt;=80000000),22,IF(AND(K15&gt;80000000,K15&lt;=93000000),23,IF(AND(K15&gt;93000000,K15&lt;=109000000),24,IF(AND(K15&gt;109000000,K15&lt;=129000000),25,IF(AND(K15&gt;129000000,K15&lt;=163000000),26,IF(AND(K15&gt;163000000,K15&lt;=211000000),27,IF(AND(K15&gt;211000000,K15&lt;=374000000),28,IF(AND(K15&gt;374000000,K15&lt;=459000000),29,IF(AND(K15&gt;459000000,K15&lt;=555000000),30,IF(AND(K15&gt;555000000,K15&lt;=704000000),31,IF(AND(K15&gt;704000000,K15&lt;=957000000),32,IF(AND(K15&gt;957000000,K15&lt;=1405000000),33,34)))))))))))))))))))))))))))))))))))))))</f>
        <v>0</v>
      </c>
      <c r="R15" s="10">
        <f>IF(K15&lt;=6600000,0,IF(AND(K15&gt;6600000,K15&lt;=6950000),0.25,IF(AND(K15&gt;6950000,K15&lt;=7350000),0.5,IF(AND(K15&gt;7350000,K15&lt;=7800000),0.75,IF(AND(K15&gt;7800000,K15&lt;=8850000),1,IF(AND(K15&gt;8850000,K15&lt;=9800000),1.25,IF(AND(K15&gt;9800000,K15&lt;=10950000),1.5,IF(AND(K15&gt;10950000,K15&lt;=11200000),1.75,IF(AND(K15&gt;11200000,K15&lt;=12050000),2,IF(AND(K15&gt;12050000,K15&lt;=12950000),3,IF(AND(K15&gt;12950000,K15&lt;=14150000),4,IF(AND(K15&gt;14150000,K15&lt;=15550000),5,IF(AND(K15&gt;15550000,K15&lt;=17050000),6,IF(AND(K15&gt;17050000,K15&lt;=19500000),7,IF(AND(K15&gt;19500000,K15&lt;=22700000),8,IF(AND(K15&gt;22700000,K15&lt;=26600000),9,IF(AND(K15&gt;26600000,K15&lt;=28100000),10,IF(AND(K15&gt;28100000,K15&lt;=30100000),11,IF(AND(K15&gt;30100000,K15&lt;=32600000),12,IF(AND(K15&gt;32600000,K15&lt;=35400000),13,IF(AND(K15&gt;35400000,K15&lt;=38900000),14,IF(AND(K15&gt;38900000,K15&lt;=43000000),15,IF(AND(K15&gt;43000000,K15&lt;=47400000),16,IF(AND(K15&gt;47400000,K15&lt;=51200000),17,IF(AND(K15&gt;51200000,K15&lt;=55800000),18,IF(AND(K15&gt;55800000,K15&lt;=60400000),19,IF(AND(K15&gt;60400000,K15&lt;=66700000),20,IF(AND(K15&gt;66700000,K15&lt;=74500000),21,IF(AND(K15&gt;74500000,K15&lt;=83200000),22,IF(AND(K15&gt;83200000,K15&lt;=95600000),23,IF(AND(K15&gt;95600000,K15&lt;=110000000),24,IF(AND(K15&gt;110000000,K15&lt;=134000000),25,IF(AND(K15&gt;134000000,K15&lt;=169000000),26,IF(AND(K15&gt;169000000,K15&lt;=221000000),27,IF(AND(K15&gt;221000000,K15&lt;=390000000),28,IF(AND(K15&gt;390000000,K15&lt;=463000000),29,IF(AND(K15&gt;463000000,K15&lt;=561000000),30,IF(AND(K15&gt;561000000,K15&lt;=709000000),31,IF(AND(K15&gt;709000000,K15&lt;=965000000),32,IF(AND(K15&gt;965000000,K15&lt;=1419000000),33,34))))))))))))))))))))))))))))))))))))))))</f>
        <v>0</v>
      </c>
      <c r="S15" s="10"/>
      <c r="T15" s="10"/>
    </row>
    <row r="16" spans="1:21">
      <c r="D16" s="1"/>
      <c r="E16" s="1"/>
      <c r="G16" s="1"/>
      <c r="H16" s="1"/>
      <c r="I16" s="1"/>
      <c r="J16" s="1"/>
      <c r="L16">
        <f>IF(OR(G16="TK/0",G16="TK/1",G16="K/0",G16="HB/0",G16="HB/1"),P16,IF(OR(G16="TK/2",G16="TK/3",G16="K/1",G16="K/2",G16="HB/2",G16="HB/3"),Q16,R16))</f>
        <v>0</v>
      </c>
      <c r="M16" s="1"/>
      <c r="N16" s="2"/>
      <c r="P16" s="10">
        <f>IF(K16&lt;=5400000,0,IF(AND(K16&gt;5400000,K16&lt;=5650000),0.25,IF(AND(K16&gt;5650000,K16&lt;=5950000),0.5,IF(AND(K16&gt;5950000,K16&lt;=6300000),0.75,IF(AND(K16&gt;6300000,K16&lt;=6750000),1,IF(AND(K16&gt;6750000,K16&lt;=7500000),1.25,IF(AND(K16&gt;7500000,K16&lt;=8550000),1.5,IF(AND(K16&gt;8550000,K16&lt;=9650000),1.75,IF(AND(K16&gt;9650000,K16&lt;=10050000),2,IF(AND(K16&gt;10050000,K16&lt;=10350000),2.25,IF(AND(K16&gt;10350000,K16&lt;=10700000),2.5,IF(AND(K16&gt;10700000,K16&lt;=11050000),3,IF(AND(K16&gt;11050000,K16&lt;=11600000),3.5,IF(AND(K16&gt;11600000,K16&lt;=12500000),4,IF(AND(K16&gt;12500000,K16&lt;=13750000),5,IF(AND(K16&gt;13750000,K16&lt;=15100000),6,IF(AND(K16&gt;15100000,K16&lt;=16950000),7,IF(AND(K16&gt;16950000,K16&lt;=19750000),8,IF(AND(K16&gt;19750000,K16&lt;=24150000),9,IF(AND(K16&gt;24150000,K16&lt;=26450000),10,IF(AND(K16&gt;26450000,K16&lt;=28000000),11,IF(AND(K16&gt;28000000,K16&lt;=30050000),12,IF(AND(K16&gt;30050000,K16&lt;=32400000),13,IF(AND(K16&gt;32400000,K16&lt;=35400000),14,IF(AND(K16&gt;35400000,K16&lt;=39100000),15,IF(AND(K16&gt;39100000,K16&lt;=43850000),16,IF(AND(K16&gt;43850000,K16&lt;=47800000),17,IF(AND(K16&gt;47800000,K16&lt;=51400000),18,IF(AND(K16&gt;51400000,K16&lt;=56300000),19,IF(AND(K16&gt;56300000,K16&lt;=62200000),20,IF(AND(K16&gt;62200000,K16&lt;=68600000),21,IF(AND(K16&gt;68600000,K16&lt;=77500000),22,IF(AND(K16&gt;77500000,K16&lt;=89000000),23,IF(AND(K16&gt;89000000,K16&lt;=103000000),24,IF(AND(K16&gt;103000000,K16&lt;=125000000),25,IF(AND(K16&gt;125000000,K16&lt;=157000000),26,IF(AND(K16&gt;157000000,K16&lt;=206000000),27,IF(AND(K16&gt;206000000,K16&lt;=337000000),28,IF(AND(K16&gt;337000000,K16&lt;=454000000),29,IF(AND(K16&gt;454000000,K16&lt;=550000000),30,IF(AND(K16&gt;550000000,K16&lt;=695000000),31,IF(AND(K16&gt;695000000,K16&lt;=910000000),32,IF(AND(K16&gt;910000000,K16&lt;=1400000000),33,34)))))))))))))))))))))))))))))))))))))))))))</f>
        <v>0</v>
      </c>
      <c r="Q16" s="10">
        <f>IF(K16&lt;=6200000,0,IF(AND(K16&gt;6200000,K16&lt;=6500000),0.25,IF(AND(K16&gt;6500000,K16&lt;=6850000),0.5,IF(AND(K16&gt;6850000,K16&lt;=7300000),0.75,IF(AND(K16&gt;7300000,K16&lt;=9200000),1,IF(AND(K16&gt;9200000,K16&lt;=10750000),1.5,IF(AND(K16&gt;10750000,K16&lt;=11250000),2,IF(AND(K16&gt;11250000,K16&lt;=11600000),2.5,IF(AND(K16&gt;11600000,K16&lt;=12600000),3,IF(AND(K16&gt;12600000,K16&lt;=13600000),4,IF(AND(K16&gt;13600000,K16&lt;=14950000),5,IF(AND(K16&gt;14950000,K16&lt;=16400000),6,IF(AND(K16&gt;16400000,K16&lt;=18450000),7,IF(AND(K16&gt;18450000,K16&lt;=21850000),8,IF(AND(K16&gt;21850000,K16&lt;=26000000),9,IF(AND(K16&gt;26000000,K16&lt;=27700000),10,IF(AND(K16&gt;27700000,K16&lt;=29350000),11,IF(AND(K16&gt;29350000,K16&lt;=31450000),12,IF(AND(K16&gt;31450000,K16&lt;=33950000),13,IF(AND(K16&gt;33950000,K16&lt;=37100000),14,IF(AND(K16&gt;37100000,K16&lt;=41100000),15,IF(AND(K16&gt;41100000,K16&lt;=45800000),16,IF(AND(K16&gt;45800000,K16&lt;=49500000),17,IF(AND(K16&gt;49500000,K16&lt;=53800000),18,IF(AND(K16&gt;53800000,K16&lt;=58500000),19,IF(AND(K16&gt;58500000,K16&lt;=64000000),20,IF(AND(K16&gt;64000000,K16&lt;=71000000),21,IF(AND(K16&gt;71000000,K16&lt;=80000000),22,IF(AND(K16&gt;80000000,K16&lt;=93000000),23,IF(AND(K16&gt;93000000,K16&lt;=109000000),24,IF(AND(K16&gt;109000000,K16&lt;=129000000),25,IF(AND(K16&gt;129000000,K16&lt;=163000000),26,IF(AND(K16&gt;163000000,K16&lt;=211000000),27,IF(AND(K16&gt;211000000,K16&lt;=374000000),28,IF(AND(K16&gt;374000000,K16&lt;=459000000),29,IF(AND(K16&gt;459000000,K16&lt;=555000000),30,IF(AND(K16&gt;555000000,K16&lt;=704000000),31,IF(AND(K16&gt;704000000,K16&lt;=957000000),32,IF(AND(K16&gt;957000000,K16&lt;=1405000000),33,34)))))))))))))))))))))))))))))))))))))))</f>
        <v>0</v>
      </c>
      <c r="R16" s="10">
        <f>IF(K16&lt;=6600000,0,IF(AND(K16&gt;6600000,K16&lt;=6950000),0.25,IF(AND(K16&gt;6950000,K16&lt;=7350000),0.5,IF(AND(K16&gt;7350000,K16&lt;=7800000),0.75,IF(AND(K16&gt;7800000,K16&lt;=8850000),1,IF(AND(K16&gt;8850000,K16&lt;=9800000),1.25,IF(AND(K16&gt;9800000,K16&lt;=10950000),1.5,IF(AND(K16&gt;10950000,K16&lt;=11200000),1.75,IF(AND(K16&gt;11200000,K16&lt;=12050000),2,IF(AND(K16&gt;12050000,K16&lt;=12950000),3,IF(AND(K16&gt;12950000,K16&lt;=14150000),4,IF(AND(K16&gt;14150000,K16&lt;=15550000),5,IF(AND(K16&gt;15550000,K16&lt;=17050000),6,IF(AND(K16&gt;17050000,K16&lt;=19500000),7,IF(AND(K16&gt;19500000,K16&lt;=22700000),8,IF(AND(K16&gt;22700000,K16&lt;=26600000),9,IF(AND(K16&gt;26600000,K16&lt;=28100000),10,IF(AND(K16&gt;28100000,K16&lt;=30100000),11,IF(AND(K16&gt;30100000,K16&lt;=32600000),12,IF(AND(K16&gt;32600000,K16&lt;=35400000),13,IF(AND(K16&gt;35400000,K16&lt;=38900000),14,IF(AND(K16&gt;38900000,K16&lt;=43000000),15,IF(AND(K16&gt;43000000,K16&lt;=47400000),16,IF(AND(K16&gt;47400000,K16&lt;=51200000),17,IF(AND(K16&gt;51200000,K16&lt;=55800000),18,IF(AND(K16&gt;55800000,K16&lt;=60400000),19,IF(AND(K16&gt;60400000,K16&lt;=66700000),20,IF(AND(K16&gt;66700000,K16&lt;=74500000),21,IF(AND(K16&gt;74500000,K16&lt;=83200000),22,IF(AND(K16&gt;83200000,K16&lt;=95600000),23,IF(AND(K16&gt;95600000,K16&lt;=110000000),24,IF(AND(K16&gt;110000000,K16&lt;=134000000),25,IF(AND(K16&gt;134000000,K16&lt;=169000000),26,IF(AND(K16&gt;169000000,K16&lt;=221000000),27,IF(AND(K16&gt;221000000,K16&lt;=390000000),28,IF(AND(K16&gt;390000000,K16&lt;=463000000),29,IF(AND(K16&gt;463000000,K16&lt;=561000000),30,IF(AND(K16&gt;561000000,K16&lt;=709000000),31,IF(AND(K16&gt;709000000,K16&lt;=965000000),32,IF(AND(K16&gt;965000000,K16&lt;=1419000000),33,34))))))))))))))))))))))))))))))))))))))))</f>
        <v>0</v>
      </c>
      <c r="S16" s="10"/>
      <c r="T16" s="10"/>
    </row>
    <row r="17" spans="1:21">
      <c r="D17" s="1"/>
      <c r="E17" s="1"/>
      <c r="G17" s="1"/>
      <c r="H17" s="1"/>
      <c r="I17" s="1"/>
      <c r="J17" s="1"/>
      <c r="L17">
        <f>IF(OR(G17="TK/0",G17="TK/1",G17="K/0",G17="HB/0",G17="HB/1"),P17,IF(OR(G17="TK/2",G17="TK/3",G17="K/1",G17="K/2",G17="HB/2",G17="HB/3"),Q17,R17))</f>
        <v>0</v>
      </c>
      <c r="M17" s="1"/>
      <c r="N17" s="2"/>
      <c r="P17" s="10">
        <f>IF(K17&lt;=5400000,0,IF(AND(K17&gt;5400000,K17&lt;=5650000),0.25,IF(AND(K17&gt;5650000,K17&lt;=5950000),0.5,IF(AND(K17&gt;5950000,K17&lt;=6300000),0.75,IF(AND(K17&gt;6300000,K17&lt;=6750000),1,IF(AND(K17&gt;6750000,K17&lt;=7500000),1.25,IF(AND(K17&gt;7500000,K17&lt;=8550000),1.5,IF(AND(K17&gt;8550000,K17&lt;=9650000),1.75,IF(AND(K17&gt;9650000,K17&lt;=10050000),2,IF(AND(K17&gt;10050000,K17&lt;=10350000),2.25,IF(AND(K17&gt;10350000,K17&lt;=10700000),2.5,IF(AND(K17&gt;10700000,K17&lt;=11050000),3,IF(AND(K17&gt;11050000,K17&lt;=11600000),3.5,IF(AND(K17&gt;11600000,K17&lt;=12500000),4,IF(AND(K17&gt;12500000,K17&lt;=13750000),5,IF(AND(K17&gt;13750000,K17&lt;=15100000),6,IF(AND(K17&gt;15100000,K17&lt;=16950000),7,IF(AND(K17&gt;16950000,K17&lt;=19750000),8,IF(AND(K17&gt;19750000,K17&lt;=24150000),9,IF(AND(K17&gt;24150000,K17&lt;=26450000),10,IF(AND(K17&gt;26450000,K17&lt;=28000000),11,IF(AND(K17&gt;28000000,K17&lt;=30050000),12,IF(AND(K17&gt;30050000,K17&lt;=32400000),13,IF(AND(K17&gt;32400000,K17&lt;=35400000),14,IF(AND(K17&gt;35400000,K17&lt;=39100000),15,IF(AND(K17&gt;39100000,K17&lt;=43850000),16,IF(AND(K17&gt;43850000,K17&lt;=47800000),17,IF(AND(K17&gt;47800000,K17&lt;=51400000),18,IF(AND(K17&gt;51400000,K17&lt;=56300000),19,IF(AND(K17&gt;56300000,K17&lt;=62200000),20,IF(AND(K17&gt;62200000,K17&lt;=68600000),21,IF(AND(K17&gt;68600000,K17&lt;=77500000),22,IF(AND(K17&gt;77500000,K17&lt;=89000000),23,IF(AND(K17&gt;89000000,K17&lt;=103000000),24,IF(AND(K17&gt;103000000,K17&lt;=125000000),25,IF(AND(K17&gt;125000000,K17&lt;=157000000),26,IF(AND(K17&gt;157000000,K17&lt;=206000000),27,IF(AND(K17&gt;206000000,K17&lt;=337000000),28,IF(AND(K17&gt;337000000,K17&lt;=454000000),29,IF(AND(K17&gt;454000000,K17&lt;=550000000),30,IF(AND(K17&gt;550000000,K17&lt;=695000000),31,IF(AND(K17&gt;695000000,K17&lt;=910000000),32,IF(AND(K17&gt;910000000,K17&lt;=1400000000),33,34)))))))))))))))))))))))))))))))))))))))))))</f>
        <v>0</v>
      </c>
      <c r="Q17" s="10">
        <f>IF(K17&lt;=6200000,0,IF(AND(K17&gt;6200000,K17&lt;=6500000),0.25,IF(AND(K17&gt;6500000,K17&lt;=6850000),0.5,IF(AND(K17&gt;6850000,K17&lt;=7300000),0.75,IF(AND(K17&gt;7300000,K17&lt;=9200000),1,IF(AND(K17&gt;9200000,K17&lt;=10750000),1.5,IF(AND(K17&gt;10750000,K17&lt;=11250000),2,IF(AND(K17&gt;11250000,K17&lt;=11600000),2.5,IF(AND(K17&gt;11600000,K17&lt;=12600000),3,IF(AND(K17&gt;12600000,K17&lt;=13600000),4,IF(AND(K17&gt;13600000,K17&lt;=14950000),5,IF(AND(K17&gt;14950000,K17&lt;=16400000),6,IF(AND(K17&gt;16400000,K17&lt;=18450000),7,IF(AND(K17&gt;18450000,K17&lt;=21850000),8,IF(AND(K17&gt;21850000,K17&lt;=26000000),9,IF(AND(K17&gt;26000000,K17&lt;=27700000),10,IF(AND(K17&gt;27700000,K17&lt;=29350000),11,IF(AND(K17&gt;29350000,K17&lt;=31450000),12,IF(AND(K17&gt;31450000,K17&lt;=33950000),13,IF(AND(K17&gt;33950000,K17&lt;=37100000),14,IF(AND(K17&gt;37100000,K17&lt;=41100000),15,IF(AND(K17&gt;41100000,K17&lt;=45800000),16,IF(AND(K17&gt;45800000,K17&lt;=49500000),17,IF(AND(K17&gt;49500000,K17&lt;=53800000),18,IF(AND(K17&gt;53800000,K17&lt;=58500000),19,IF(AND(K17&gt;58500000,K17&lt;=64000000),20,IF(AND(K17&gt;64000000,K17&lt;=71000000),21,IF(AND(K17&gt;71000000,K17&lt;=80000000),22,IF(AND(K17&gt;80000000,K17&lt;=93000000),23,IF(AND(K17&gt;93000000,K17&lt;=109000000),24,IF(AND(K17&gt;109000000,K17&lt;=129000000),25,IF(AND(K17&gt;129000000,K17&lt;=163000000),26,IF(AND(K17&gt;163000000,K17&lt;=211000000),27,IF(AND(K17&gt;211000000,K17&lt;=374000000),28,IF(AND(K17&gt;374000000,K17&lt;=459000000),29,IF(AND(K17&gt;459000000,K17&lt;=555000000),30,IF(AND(K17&gt;555000000,K17&lt;=704000000),31,IF(AND(K17&gt;704000000,K17&lt;=957000000),32,IF(AND(K17&gt;957000000,K17&lt;=1405000000),33,34)))))))))))))))))))))))))))))))))))))))</f>
        <v>0</v>
      </c>
      <c r="R17" s="10">
        <f>IF(K17&lt;=6600000,0,IF(AND(K17&gt;6600000,K17&lt;=6950000),0.25,IF(AND(K17&gt;6950000,K17&lt;=7350000),0.5,IF(AND(K17&gt;7350000,K17&lt;=7800000),0.75,IF(AND(K17&gt;7800000,K17&lt;=8850000),1,IF(AND(K17&gt;8850000,K17&lt;=9800000),1.25,IF(AND(K17&gt;9800000,K17&lt;=10950000),1.5,IF(AND(K17&gt;10950000,K17&lt;=11200000),1.75,IF(AND(K17&gt;11200000,K17&lt;=12050000),2,IF(AND(K17&gt;12050000,K17&lt;=12950000),3,IF(AND(K17&gt;12950000,K17&lt;=14150000),4,IF(AND(K17&gt;14150000,K17&lt;=15550000),5,IF(AND(K17&gt;15550000,K17&lt;=17050000),6,IF(AND(K17&gt;17050000,K17&lt;=19500000),7,IF(AND(K17&gt;19500000,K17&lt;=22700000),8,IF(AND(K17&gt;22700000,K17&lt;=26600000),9,IF(AND(K17&gt;26600000,K17&lt;=28100000),10,IF(AND(K17&gt;28100000,K17&lt;=30100000),11,IF(AND(K17&gt;30100000,K17&lt;=32600000),12,IF(AND(K17&gt;32600000,K17&lt;=35400000),13,IF(AND(K17&gt;35400000,K17&lt;=38900000),14,IF(AND(K17&gt;38900000,K17&lt;=43000000),15,IF(AND(K17&gt;43000000,K17&lt;=47400000),16,IF(AND(K17&gt;47400000,K17&lt;=51200000),17,IF(AND(K17&gt;51200000,K17&lt;=55800000),18,IF(AND(K17&gt;55800000,K17&lt;=60400000),19,IF(AND(K17&gt;60400000,K17&lt;=66700000),20,IF(AND(K17&gt;66700000,K17&lt;=74500000),21,IF(AND(K17&gt;74500000,K17&lt;=83200000),22,IF(AND(K17&gt;83200000,K17&lt;=95600000),23,IF(AND(K17&gt;95600000,K17&lt;=110000000),24,IF(AND(K17&gt;110000000,K17&lt;=134000000),25,IF(AND(K17&gt;134000000,K17&lt;=169000000),26,IF(AND(K17&gt;169000000,K17&lt;=221000000),27,IF(AND(K17&gt;221000000,K17&lt;=390000000),28,IF(AND(K17&gt;390000000,K17&lt;=463000000),29,IF(AND(K17&gt;463000000,K17&lt;=561000000),30,IF(AND(K17&gt;561000000,K17&lt;=709000000),31,IF(AND(K17&gt;709000000,K17&lt;=965000000),32,IF(AND(K17&gt;965000000,K17&lt;=1419000000),33,34))))))))))))))))))))))))))))))))))))))))</f>
        <v>0</v>
      </c>
      <c r="S17" s="10"/>
      <c r="T17" s="10"/>
    </row>
    <row r="18" spans="1:21">
      <c r="D18" s="1"/>
      <c r="E18" s="1"/>
      <c r="G18" s="1"/>
      <c r="H18" s="1"/>
      <c r="I18" s="1"/>
      <c r="J18" s="1"/>
      <c r="L18">
        <f>IF(OR(G18="TK/0",G18="TK/1",G18="K/0",G18="HB/0",G18="HB/1"),P18,IF(OR(G18="TK/2",G18="TK/3",G18="K/1",G18="K/2",G18="HB/2",G18="HB/3"),Q18,R18))</f>
        <v>0</v>
      </c>
      <c r="M18" s="1"/>
      <c r="N18" s="2"/>
      <c r="P18" s="10">
        <f>IF(K18&lt;=5400000,0,IF(AND(K18&gt;5400000,K18&lt;=5650000),0.25,IF(AND(K18&gt;5650000,K18&lt;=5950000),0.5,IF(AND(K18&gt;5950000,K18&lt;=6300000),0.75,IF(AND(K18&gt;6300000,K18&lt;=6750000),1,IF(AND(K18&gt;6750000,K18&lt;=7500000),1.25,IF(AND(K18&gt;7500000,K18&lt;=8550000),1.5,IF(AND(K18&gt;8550000,K18&lt;=9650000),1.75,IF(AND(K18&gt;9650000,K18&lt;=10050000),2,IF(AND(K18&gt;10050000,K18&lt;=10350000),2.25,IF(AND(K18&gt;10350000,K18&lt;=10700000),2.5,IF(AND(K18&gt;10700000,K18&lt;=11050000),3,IF(AND(K18&gt;11050000,K18&lt;=11600000),3.5,IF(AND(K18&gt;11600000,K18&lt;=12500000),4,IF(AND(K18&gt;12500000,K18&lt;=13750000),5,IF(AND(K18&gt;13750000,K18&lt;=15100000),6,IF(AND(K18&gt;15100000,K18&lt;=16950000),7,IF(AND(K18&gt;16950000,K18&lt;=19750000),8,IF(AND(K18&gt;19750000,K18&lt;=24150000),9,IF(AND(K18&gt;24150000,K18&lt;=26450000),10,IF(AND(K18&gt;26450000,K18&lt;=28000000),11,IF(AND(K18&gt;28000000,K18&lt;=30050000),12,IF(AND(K18&gt;30050000,K18&lt;=32400000),13,IF(AND(K18&gt;32400000,K18&lt;=35400000),14,IF(AND(K18&gt;35400000,K18&lt;=39100000),15,IF(AND(K18&gt;39100000,K18&lt;=43850000),16,IF(AND(K18&gt;43850000,K18&lt;=47800000),17,IF(AND(K18&gt;47800000,K18&lt;=51400000),18,IF(AND(K18&gt;51400000,K18&lt;=56300000),19,IF(AND(K18&gt;56300000,K18&lt;=62200000),20,IF(AND(K18&gt;62200000,K18&lt;=68600000),21,IF(AND(K18&gt;68600000,K18&lt;=77500000),22,IF(AND(K18&gt;77500000,K18&lt;=89000000),23,IF(AND(K18&gt;89000000,K18&lt;=103000000),24,IF(AND(K18&gt;103000000,K18&lt;=125000000),25,IF(AND(K18&gt;125000000,K18&lt;=157000000),26,IF(AND(K18&gt;157000000,K18&lt;=206000000),27,IF(AND(K18&gt;206000000,K18&lt;=337000000),28,IF(AND(K18&gt;337000000,K18&lt;=454000000),29,IF(AND(K18&gt;454000000,K18&lt;=550000000),30,IF(AND(K18&gt;550000000,K18&lt;=695000000),31,IF(AND(K18&gt;695000000,K18&lt;=910000000),32,IF(AND(K18&gt;910000000,K18&lt;=1400000000),33,34)))))))))))))))))))))))))))))))))))))))))))</f>
        <v>0</v>
      </c>
      <c r="Q18" s="10">
        <f>IF(K18&lt;=6200000,0,IF(AND(K18&gt;6200000,K18&lt;=6500000),0.25,IF(AND(K18&gt;6500000,K18&lt;=6850000),0.5,IF(AND(K18&gt;6850000,K18&lt;=7300000),0.75,IF(AND(K18&gt;7300000,K18&lt;=9200000),1,IF(AND(K18&gt;9200000,K18&lt;=10750000),1.5,IF(AND(K18&gt;10750000,K18&lt;=11250000),2,IF(AND(K18&gt;11250000,K18&lt;=11600000),2.5,IF(AND(K18&gt;11600000,K18&lt;=12600000),3,IF(AND(K18&gt;12600000,K18&lt;=13600000),4,IF(AND(K18&gt;13600000,K18&lt;=14950000),5,IF(AND(K18&gt;14950000,K18&lt;=16400000),6,IF(AND(K18&gt;16400000,K18&lt;=18450000),7,IF(AND(K18&gt;18450000,K18&lt;=21850000),8,IF(AND(K18&gt;21850000,K18&lt;=26000000),9,IF(AND(K18&gt;26000000,K18&lt;=27700000),10,IF(AND(K18&gt;27700000,K18&lt;=29350000),11,IF(AND(K18&gt;29350000,K18&lt;=31450000),12,IF(AND(K18&gt;31450000,K18&lt;=33950000),13,IF(AND(K18&gt;33950000,K18&lt;=37100000),14,IF(AND(K18&gt;37100000,K18&lt;=41100000),15,IF(AND(K18&gt;41100000,K18&lt;=45800000),16,IF(AND(K18&gt;45800000,K18&lt;=49500000),17,IF(AND(K18&gt;49500000,K18&lt;=53800000),18,IF(AND(K18&gt;53800000,K18&lt;=58500000),19,IF(AND(K18&gt;58500000,K18&lt;=64000000),20,IF(AND(K18&gt;64000000,K18&lt;=71000000),21,IF(AND(K18&gt;71000000,K18&lt;=80000000),22,IF(AND(K18&gt;80000000,K18&lt;=93000000),23,IF(AND(K18&gt;93000000,K18&lt;=109000000),24,IF(AND(K18&gt;109000000,K18&lt;=129000000),25,IF(AND(K18&gt;129000000,K18&lt;=163000000),26,IF(AND(K18&gt;163000000,K18&lt;=211000000),27,IF(AND(K18&gt;211000000,K18&lt;=374000000),28,IF(AND(K18&gt;374000000,K18&lt;=459000000),29,IF(AND(K18&gt;459000000,K18&lt;=555000000),30,IF(AND(K18&gt;555000000,K18&lt;=704000000),31,IF(AND(K18&gt;704000000,K18&lt;=957000000),32,IF(AND(K18&gt;957000000,K18&lt;=1405000000),33,34)))))))))))))))))))))))))))))))))))))))</f>
        <v>0</v>
      </c>
      <c r="R18" s="10">
        <f>IF(K18&lt;=6600000,0,IF(AND(K18&gt;6600000,K18&lt;=6950000),0.25,IF(AND(K18&gt;6950000,K18&lt;=7350000),0.5,IF(AND(K18&gt;7350000,K18&lt;=7800000),0.75,IF(AND(K18&gt;7800000,K18&lt;=8850000),1,IF(AND(K18&gt;8850000,K18&lt;=9800000),1.25,IF(AND(K18&gt;9800000,K18&lt;=10950000),1.5,IF(AND(K18&gt;10950000,K18&lt;=11200000),1.75,IF(AND(K18&gt;11200000,K18&lt;=12050000),2,IF(AND(K18&gt;12050000,K18&lt;=12950000),3,IF(AND(K18&gt;12950000,K18&lt;=14150000),4,IF(AND(K18&gt;14150000,K18&lt;=15550000),5,IF(AND(K18&gt;15550000,K18&lt;=17050000),6,IF(AND(K18&gt;17050000,K18&lt;=19500000),7,IF(AND(K18&gt;19500000,K18&lt;=22700000),8,IF(AND(K18&gt;22700000,K18&lt;=26600000),9,IF(AND(K18&gt;26600000,K18&lt;=28100000),10,IF(AND(K18&gt;28100000,K18&lt;=30100000),11,IF(AND(K18&gt;30100000,K18&lt;=32600000),12,IF(AND(K18&gt;32600000,K18&lt;=35400000),13,IF(AND(K18&gt;35400000,K18&lt;=38900000),14,IF(AND(K18&gt;38900000,K18&lt;=43000000),15,IF(AND(K18&gt;43000000,K18&lt;=47400000),16,IF(AND(K18&gt;47400000,K18&lt;=51200000),17,IF(AND(K18&gt;51200000,K18&lt;=55800000),18,IF(AND(K18&gt;55800000,K18&lt;=60400000),19,IF(AND(K18&gt;60400000,K18&lt;=66700000),20,IF(AND(K18&gt;66700000,K18&lt;=74500000),21,IF(AND(K18&gt;74500000,K18&lt;=83200000),22,IF(AND(K18&gt;83200000,K18&lt;=95600000),23,IF(AND(K18&gt;95600000,K18&lt;=110000000),24,IF(AND(K18&gt;110000000,K18&lt;=134000000),25,IF(AND(K18&gt;134000000,K18&lt;=169000000),26,IF(AND(K18&gt;169000000,K18&lt;=221000000),27,IF(AND(K18&gt;221000000,K18&lt;=390000000),28,IF(AND(K18&gt;390000000,K18&lt;=463000000),29,IF(AND(K18&gt;463000000,K18&lt;=561000000),30,IF(AND(K18&gt;561000000,K18&lt;=709000000),31,IF(AND(K18&gt;709000000,K18&lt;=965000000),32,IF(AND(K18&gt;965000000,K18&lt;=1419000000),33,34))))))))))))))))))))))))))))))))))))))))</f>
        <v>0</v>
      </c>
      <c r="S18" s="10"/>
      <c r="T18" s="10"/>
    </row>
    <row r="19" spans="1:21">
      <c r="D19" s="1"/>
      <c r="E19" s="1"/>
      <c r="G19" s="1"/>
      <c r="H19" s="1"/>
      <c r="I19" s="1"/>
      <c r="J19" s="1"/>
      <c r="L19">
        <f>IF(OR(G19="TK/0",G19="TK/1",G19="K/0",G19="HB/0",G19="HB/1"),P19,IF(OR(G19="TK/2",G19="TK/3",G19="K/1",G19="K/2",G19="HB/2",G19="HB/3"),Q19,R19))</f>
        <v>0</v>
      </c>
      <c r="M19" s="1"/>
      <c r="N19" s="2"/>
      <c r="P19" s="10">
        <f>IF(K19&lt;=5400000,0,IF(AND(K19&gt;5400000,K19&lt;=5650000),0.25,IF(AND(K19&gt;5650000,K19&lt;=5950000),0.5,IF(AND(K19&gt;5950000,K19&lt;=6300000),0.75,IF(AND(K19&gt;6300000,K19&lt;=6750000),1,IF(AND(K19&gt;6750000,K19&lt;=7500000),1.25,IF(AND(K19&gt;7500000,K19&lt;=8550000),1.5,IF(AND(K19&gt;8550000,K19&lt;=9650000),1.75,IF(AND(K19&gt;9650000,K19&lt;=10050000),2,IF(AND(K19&gt;10050000,K19&lt;=10350000),2.25,IF(AND(K19&gt;10350000,K19&lt;=10700000),2.5,IF(AND(K19&gt;10700000,K19&lt;=11050000),3,IF(AND(K19&gt;11050000,K19&lt;=11600000),3.5,IF(AND(K19&gt;11600000,K19&lt;=12500000),4,IF(AND(K19&gt;12500000,K19&lt;=13750000),5,IF(AND(K19&gt;13750000,K19&lt;=15100000),6,IF(AND(K19&gt;15100000,K19&lt;=16950000),7,IF(AND(K19&gt;16950000,K19&lt;=19750000),8,IF(AND(K19&gt;19750000,K19&lt;=24150000),9,IF(AND(K19&gt;24150000,K19&lt;=26450000),10,IF(AND(K19&gt;26450000,K19&lt;=28000000),11,IF(AND(K19&gt;28000000,K19&lt;=30050000),12,IF(AND(K19&gt;30050000,K19&lt;=32400000),13,IF(AND(K19&gt;32400000,K19&lt;=35400000),14,IF(AND(K19&gt;35400000,K19&lt;=39100000),15,IF(AND(K19&gt;39100000,K19&lt;=43850000),16,IF(AND(K19&gt;43850000,K19&lt;=47800000),17,IF(AND(K19&gt;47800000,K19&lt;=51400000),18,IF(AND(K19&gt;51400000,K19&lt;=56300000),19,IF(AND(K19&gt;56300000,K19&lt;=62200000),20,IF(AND(K19&gt;62200000,K19&lt;=68600000),21,IF(AND(K19&gt;68600000,K19&lt;=77500000),22,IF(AND(K19&gt;77500000,K19&lt;=89000000),23,IF(AND(K19&gt;89000000,K19&lt;=103000000),24,IF(AND(K19&gt;103000000,K19&lt;=125000000),25,IF(AND(K19&gt;125000000,K19&lt;=157000000),26,IF(AND(K19&gt;157000000,K19&lt;=206000000),27,IF(AND(K19&gt;206000000,K19&lt;=337000000),28,IF(AND(K19&gt;337000000,K19&lt;=454000000),29,IF(AND(K19&gt;454000000,K19&lt;=550000000),30,IF(AND(K19&gt;550000000,K19&lt;=695000000),31,IF(AND(K19&gt;695000000,K19&lt;=910000000),32,IF(AND(K19&gt;910000000,K19&lt;=1400000000),33,34)))))))))))))))))))))))))))))))))))))))))))</f>
        <v>0</v>
      </c>
      <c r="Q19" s="10">
        <f>IF(K19&lt;=6200000,0,IF(AND(K19&gt;6200000,K19&lt;=6500000),0.25,IF(AND(K19&gt;6500000,K19&lt;=6850000),0.5,IF(AND(K19&gt;6850000,K19&lt;=7300000),0.75,IF(AND(K19&gt;7300000,K19&lt;=9200000),1,IF(AND(K19&gt;9200000,K19&lt;=10750000),1.5,IF(AND(K19&gt;10750000,K19&lt;=11250000),2,IF(AND(K19&gt;11250000,K19&lt;=11600000),2.5,IF(AND(K19&gt;11600000,K19&lt;=12600000),3,IF(AND(K19&gt;12600000,K19&lt;=13600000),4,IF(AND(K19&gt;13600000,K19&lt;=14950000),5,IF(AND(K19&gt;14950000,K19&lt;=16400000),6,IF(AND(K19&gt;16400000,K19&lt;=18450000),7,IF(AND(K19&gt;18450000,K19&lt;=21850000),8,IF(AND(K19&gt;21850000,K19&lt;=26000000),9,IF(AND(K19&gt;26000000,K19&lt;=27700000),10,IF(AND(K19&gt;27700000,K19&lt;=29350000),11,IF(AND(K19&gt;29350000,K19&lt;=31450000),12,IF(AND(K19&gt;31450000,K19&lt;=33950000),13,IF(AND(K19&gt;33950000,K19&lt;=37100000),14,IF(AND(K19&gt;37100000,K19&lt;=41100000),15,IF(AND(K19&gt;41100000,K19&lt;=45800000),16,IF(AND(K19&gt;45800000,K19&lt;=49500000),17,IF(AND(K19&gt;49500000,K19&lt;=53800000),18,IF(AND(K19&gt;53800000,K19&lt;=58500000),19,IF(AND(K19&gt;58500000,K19&lt;=64000000),20,IF(AND(K19&gt;64000000,K19&lt;=71000000),21,IF(AND(K19&gt;71000000,K19&lt;=80000000),22,IF(AND(K19&gt;80000000,K19&lt;=93000000),23,IF(AND(K19&gt;93000000,K19&lt;=109000000),24,IF(AND(K19&gt;109000000,K19&lt;=129000000),25,IF(AND(K19&gt;129000000,K19&lt;=163000000),26,IF(AND(K19&gt;163000000,K19&lt;=211000000),27,IF(AND(K19&gt;211000000,K19&lt;=374000000),28,IF(AND(K19&gt;374000000,K19&lt;=459000000),29,IF(AND(K19&gt;459000000,K19&lt;=555000000),30,IF(AND(K19&gt;555000000,K19&lt;=704000000),31,IF(AND(K19&gt;704000000,K19&lt;=957000000),32,IF(AND(K19&gt;957000000,K19&lt;=1405000000),33,34)))))))))))))))))))))))))))))))))))))))</f>
        <v>0</v>
      </c>
      <c r="R19" s="10">
        <f>IF(K19&lt;=6600000,0,IF(AND(K19&gt;6600000,K19&lt;=6950000),0.25,IF(AND(K19&gt;6950000,K19&lt;=7350000),0.5,IF(AND(K19&gt;7350000,K19&lt;=7800000),0.75,IF(AND(K19&gt;7800000,K19&lt;=8850000),1,IF(AND(K19&gt;8850000,K19&lt;=9800000),1.25,IF(AND(K19&gt;9800000,K19&lt;=10950000),1.5,IF(AND(K19&gt;10950000,K19&lt;=11200000),1.75,IF(AND(K19&gt;11200000,K19&lt;=12050000),2,IF(AND(K19&gt;12050000,K19&lt;=12950000),3,IF(AND(K19&gt;12950000,K19&lt;=14150000),4,IF(AND(K19&gt;14150000,K19&lt;=15550000),5,IF(AND(K19&gt;15550000,K19&lt;=17050000),6,IF(AND(K19&gt;17050000,K19&lt;=19500000),7,IF(AND(K19&gt;19500000,K19&lt;=22700000),8,IF(AND(K19&gt;22700000,K19&lt;=26600000),9,IF(AND(K19&gt;26600000,K19&lt;=28100000),10,IF(AND(K19&gt;28100000,K19&lt;=30100000),11,IF(AND(K19&gt;30100000,K19&lt;=32600000),12,IF(AND(K19&gt;32600000,K19&lt;=35400000),13,IF(AND(K19&gt;35400000,K19&lt;=38900000),14,IF(AND(K19&gt;38900000,K19&lt;=43000000),15,IF(AND(K19&gt;43000000,K19&lt;=47400000),16,IF(AND(K19&gt;47400000,K19&lt;=51200000),17,IF(AND(K19&gt;51200000,K19&lt;=55800000),18,IF(AND(K19&gt;55800000,K19&lt;=60400000),19,IF(AND(K19&gt;60400000,K19&lt;=66700000),20,IF(AND(K19&gt;66700000,K19&lt;=74500000),21,IF(AND(K19&gt;74500000,K19&lt;=83200000),22,IF(AND(K19&gt;83200000,K19&lt;=95600000),23,IF(AND(K19&gt;95600000,K19&lt;=110000000),24,IF(AND(K19&gt;110000000,K19&lt;=134000000),25,IF(AND(K19&gt;134000000,K19&lt;=169000000),26,IF(AND(K19&gt;169000000,K19&lt;=221000000),27,IF(AND(K19&gt;221000000,K19&lt;=390000000),28,IF(AND(K19&gt;390000000,K19&lt;=463000000),29,IF(AND(K19&gt;463000000,K19&lt;=561000000),30,IF(AND(K19&gt;561000000,K19&lt;=709000000),31,IF(AND(K19&gt;709000000,K19&lt;=965000000),32,IF(AND(K19&gt;965000000,K19&lt;=1419000000),33,34))))))))))))))))))))))))))))))))))))))))</f>
        <v>0</v>
      </c>
      <c r="S19" s="10"/>
      <c r="T19" s="10"/>
    </row>
    <row r="20" spans="1:21">
      <c r="D20" s="1"/>
      <c r="E20" s="1"/>
      <c r="G20" s="1"/>
      <c r="H20" s="1"/>
      <c r="I20" s="1"/>
      <c r="J20" s="1"/>
      <c r="L20">
        <f>IF(OR(G20="TK/0",G20="TK/1",G20="K/0",G20="HB/0",G20="HB/1"),P20,IF(OR(G20="TK/2",G20="TK/3",G20="K/1",G20="K/2",G20="HB/2",G20="HB/3"),Q20,R20))</f>
        <v>0</v>
      </c>
      <c r="M20" s="1"/>
      <c r="N20" s="2"/>
      <c r="P20" s="10">
        <f>IF(K20&lt;=5400000,0,IF(AND(K20&gt;5400000,K20&lt;=5650000),0.25,IF(AND(K20&gt;5650000,K20&lt;=5950000),0.5,IF(AND(K20&gt;5950000,K20&lt;=6300000),0.75,IF(AND(K20&gt;6300000,K20&lt;=6750000),1,IF(AND(K20&gt;6750000,K20&lt;=7500000),1.25,IF(AND(K20&gt;7500000,K20&lt;=8550000),1.5,IF(AND(K20&gt;8550000,K20&lt;=9650000),1.75,IF(AND(K20&gt;9650000,K20&lt;=10050000),2,IF(AND(K20&gt;10050000,K20&lt;=10350000),2.25,IF(AND(K20&gt;10350000,K20&lt;=10700000),2.5,IF(AND(K20&gt;10700000,K20&lt;=11050000),3,IF(AND(K20&gt;11050000,K20&lt;=11600000),3.5,IF(AND(K20&gt;11600000,K20&lt;=12500000),4,IF(AND(K20&gt;12500000,K20&lt;=13750000),5,IF(AND(K20&gt;13750000,K20&lt;=15100000),6,IF(AND(K20&gt;15100000,K20&lt;=16950000),7,IF(AND(K20&gt;16950000,K20&lt;=19750000),8,IF(AND(K20&gt;19750000,K20&lt;=24150000),9,IF(AND(K20&gt;24150000,K20&lt;=26450000),10,IF(AND(K20&gt;26450000,K20&lt;=28000000),11,IF(AND(K20&gt;28000000,K20&lt;=30050000),12,IF(AND(K20&gt;30050000,K20&lt;=32400000),13,IF(AND(K20&gt;32400000,K20&lt;=35400000),14,IF(AND(K20&gt;35400000,K20&lt;=39100000),15,IF(AND(K20&gt;39100000,K20&lt;=43850000),16,IF(AND(K20&gt;43850000,K20&lt;=47800000),17,IF(AND(K20&gt;47800000,K20&lt;=51400000),18,IF(AND(K20&gt;51400000,K20&lt;=56300000),19,IF(AND(K20&gt;56300000,K20&lt;=62200000),20,IF(AND(K20&gt;62200000,K20&lt;=68600000),21,IF(AND(K20&gt;68600000,K20&lt;=77500000),22,IF(AND(K20&gt;77500000,K20&lt;=89000000),23,IF(AND(K20&gt;89000000,K20&lt;=103000000),24,IF(AND(K20&gt;103000000,K20&lt;=125000000),25,IF(AND(K20&gt;125000000,K20&lt;=157000000),26,IF(AND(K20&gt;157000000,K20&lt;=206000000),27,IF(AND(K20&gt;206000000,K20&lt;=337000000),28,IF(AND(K20&gt;337000000,K20&lt;=454000000),29,IF(AND(K20&gt;454000000,K20&lt;=550000000),30,IF(AND(K20&gt;550000000,K20&lt;=695000000),31,IF(AND(K20&gt;695000000,K20&lt;=910000000),32,IF(AND(K20&gt;910000000,K20&lt;=1400000000),33,34)))))))))))))))))))))))))))))))))))))))))))</f>
        <v>0</v>
      </c>
      <c r="Q20" s="10">
        <f>IF(K20&lt;=6200000,0,IF(AND(K20&gt;6200000,K20&lt;=6500000),0.25,IF(AND(K20&gt;6500000,K20&lt;=6850000),0.5,IF(AND(K20&gt;6850000,K20&lt;=7300000),0.75,IF(AND(K20&gt;7300000,K20&lt;=9200000),1,IF(AND(K20&gt;9200000,K20&lt;=10750000),1.5,IF(AND(K20&gt;10750000,K20&lt;=11250000),2,IF(AND(K20&gt;11250000,K20&lt;=11600000),2.5,IF(AND(K20&gt;11600000,K20&lt;=12600000),3,IF(AND(K20&gt;12600000,K20&lt;=13600000),4,IF(AND(K20&gt;13600000,K20&lt;=14950000),5,IF(AND(K20&gt;14950000,K20&lt;=16400000),6,IF(AND(K20&gt;16400000,K20&lt;=18450000),7,IF(AND(K20&gt;18450000,K20&lt;=21850000),8,IF(AND(K20&gt;21850000,K20&lt;=26000000),9,IF(AND(K20&gt;26000000,K20&lt;=27700000),10,IF(AND(K20&gt;27700000,K20&lt;=29350000),11,IF(AND(K20&gt;29350000,K20&lt;=31450000),12,IF(AND(K20&gt;31450000,K20&lt;=33950000),13,IF(AND(K20&gt;33950000,K20&lt;=37100000),14,IF(AND(K20&gt;37100000,K20&lt;=41100000),15,IF(AND(K20&gt;41100000,K20&lt;=45800000),16,IF(AND(K20&gt;45800000,K20&lt;=49500000),17,IF(AND(K20&gt;49500000,K20&lt;=53800000),18,IF(AND(K20&gt;53800000,K20&lt;=58500000),19,IF(AND(K20&gt;58500000,K20&lt;=64000000),20,IF(AND(K20&gt;64000000,K20&lt;=71000000),21,IF(AND(K20&gt;71000000,K20&lt;=80000000),22,IF(AND(K20&gt;80000000,K20&lt;=93000000),23,IF(AND(K20&gt;93000000,K20&lt;=109000000),24,IF(AND(K20&gt;109000000,K20&lt;=129000000),25,IF(AND(K20&gt;129000000,K20&lt;=163000000),26,IF(AND(K20&gt;163000000,K20&lt;=211000000),27,IF(AND(K20&gt;211000000,K20&lt;=374000000),28,IF(AND(K20&gt;374000000,K20&lt;=459000000),29,IF(AND(K20&gt;459000000,K20&lt;=555000000),30,IF(AND(K20&gt;555000000,K20&lt;=704000000),31,IF(AND(K20&gt;704000000,K20&lt;=957000000),32,IF(AND(K20&gt;957000000,K20&lt;=1405000000),33,34)))))))))))))))))))))))))))))))))))))))</f>
        <v>0</v>
      </c>
      <c r="R20" s="10">
        <f>IF(K20&lt;=6600000,0,IF(AND(K20&gt;6600000,K20&lt;=6950000),0.25,IF(AND(K20&gt;6950000,K20&lt;=7350000),0.5,IF(AND(K20&gt;7350000,K20&lt;=7800000),0.75,IF(AND(K20&gt;7800000,K20&lt;=8850000),1,IF(AND(K20&gt;8850000,K20&lt;=9800000),1.25,IF(AND(K20&gt;9800000,K20&lt;=10950000),1.5,IF(AND(K20&gt;10950000,K20&lt;=11200000),1.75,IF(AND(K20&gt;11200000,K20&lt;=12050000),2,IF(AND(K20&gt;12050000,K20&lt;=12950000),3,IF(AND(K20&gt;12950000,K20&lt;=14150000),4,IF(AND(K20&gt;14150000,K20&lt;=15550000),5,IF(AND(K20&gt;15550000,K20&lt;=17050000),6,IF(AND(K20&gt;17050000,K20&lt;=19500000),7,IF(AND(K20&gt;19500000,K20&lt;=22700000),8,IF(AND(K20&gt;22700000,K20&lt;=26600000),9,IF(AND(K20&gt;26600000,K20&lt;=28100000),10,IF(AND(K20&gt;28100000,K20&lt;=30100000),11,IF(AND(K20&gt;30100000,K20&lt;=32600000),12,IF(AND(K20&gt;32600000,K20&lt;=35400000),13,IF(AND(K20&gt;35400000,K20&lt;=38900000),14,IF(AND(K20&gt;38900000,K20&lt;=43000000),15,IF(AND(K20&gt;43000000,K20&lt;=47400000),16,IF(AND(K20&gt;47400000,K20&lt;=51200000),17,IF(AND(K20&gt;51200000,K20&lt;=55800000),18,IF(AND(K20&gt;55800000,K20&lt;=60400000),19,IF(AND(K20&gt;60400000,K20&lt;=66700000),20,IF(AND(K20&gt;66700000,K20&lt;=74500000),21,IF(AND(K20&gt;74500000,K20&lt;=83200000),22,IF(AND(K20&gt;83200000,K20&lt;=95600000),23,IF(AND(K20&gt;95600000,K20&lt;=110000000),24,IF(AND(K20&gt;110000000,K20&lt;=134000000),25,IF(AND(K20&gt;134000000,K20&lt;=169000000),26,IF(AND(K20&gt;169000000,K20&lt;=221000000),27,IF(AND(K20&gt;221000000,K20&lt;=390000000),28,IF(AND(K20&gt;390000000,K20&lt;=463000000),29,IF(AND(K20&gt;463000000,K20&lt;=561000000),30,IF(AND(K20&gt;561000000,K20&lt;=709000000),31,IF(AND(K20&gt;709000000,K20&lt;=965000000),32,IF(AND(K20&gt;965000000,K20&lt;=1419000000),33,34))))))))))))))))))))))))))))))))))))))))</f>
        <v>0</v>
      </c>
      <c r="S20" s="10"/>
      <c r="T20" s="10"/>
    </row>
    <row r="21" spans="1:21">
      <c r="D21" s="1"/>
      <c r="E21" s="1"/>
      <c r="G21" s="1"/>
      <c r="H21" s="1"/>
      <c r="I21" s="1"/>
      <c r="J21" s="1"/>
      <c r="L21">
        <f>IF(OR(G21="TK/0",G21="TK/1",G21="K/0",G21="HB/0",G21="HB/1"),P21,IF(OR(G21="TK/2",G21="TK/3",G21="K/1",G21="K/2",G21="HB/2",G21="HB/3"),Q21,R21))</f>
        <v>0</v>
      </c>
      <c r="M21" s="1"/>
      <c r="N21" s="2"/>
      <c r="P21" s="10">
        <f>IF(K21&lt;=5400000,0,IF(AND(K21&gt;5400000,K21&lt;=5650000),0.25,IF(AND(K21&gt;5650000,K21&lt;=5950000),0.5,IF(AND(K21&gt;5950000,K21&lt;=6300000),0.75,IF(AND(K21&gt;6300000,K21&lt;=6750000),1,IF(AND(K21&gt;6750000,K21&lt;=7500000),1.25,IF(AND(K21&gt;7500000,K21&lt;=8550000),1.5,IF(AND(K21&gt;8550000,K21&lt;=9650000),1.75,IF(AND(K21&gt;9650000,K21&lt;=10050000),2,IF(AND(K21&gt;10050000,K21&lt;=10350000),2.25,IF(AND(K21&gt;10350000,K21&lt;=10700000),2.5,IF(AND(K21&gt;10700000,K21&lt;=11050000),3,IF(AND(K21&gt;11050000,K21&lt;=11600000),3.5,IF(AND(K21&gt;11600000,K21&lt;=12500000),4,IF(AND(K21&gt;12500000,K21&lt;=13750000),5,IF(AND(K21&gt;13750000,K21&lt;=15100000),6,IF(AND(K21&gt;15100000,K21&lt;=16950000),7,IF(AND(K21&gt;16950000,K21&lt;=19750000),8,IF(AND(K21&gt;19750000,K21&lt;=24150000),9,IF(AND(K21&gt;24150000,K21&lt;=26450000),10,IF(AND(K21&gt;26450000,K21&lt;=28000000),11,IF(AND(K21&gt;28000000,K21&lt;=30050000),12,IF(AND(K21&gt;30050000,K21&lt;=32400000),13,IF(AND(K21&gt;32400000,K21&lt;=35400000),14,IF(AND(K21&gt;35400000,K21&lt;=39100000),15,IF(AND(K21&gt;39100000,K21&lt;=43850000),16,IF(AND(K21&gt;43850000,K21&lt;=47800000),17,IF(AND(K21&gt;47800000,K21&lt;=51400000),18,IF(AND(K21&gt;51400000,K21&lt;=56300000),19,IF(AND(K21&gt;56300000,K21&lt;=62200000),20,IF(AND(K21&gt;62200000,K21&lt;=68600000),21,IF(AND(K21&gt;68600000,K21&lt;=77500000),22,IF(AND(K21&gt;77500000,K21&lt;=89000000),23,IF(AND(K21&gt;89000000,K21&lt;=103000000),24,IF(AND(K21&gt;103000000,K21&lt;=125000000),25,IF(AND(K21&gt;125000000,K21&lt;=157000000),26,IF(AND(K21&gt;157000000,K21&lt;=206000000),27,IF(AND(K21&gt;206000000,K21&lt;=337000000),28,IF(AND(K21&gt;337000000,K21&lt;=454000000),29,IF(AND(K21&gt;454000000,K21&lt;=550000000),30,IF(AND(K21&gt;550000000,K21&lt;=695000000),31,IF(AND(K21&gt;695000000,K21&lt;=910000000),32,IF(AND(K21&gt;910000000,K21&lt;=1400000000),33,34)))))))))))))))))))))))))))))))))))))))))))</f>
        <v>0</v>
      </c>
      <c r="Q21" s="10">
        <f>IF(K21&lt;=6200000,0,IF(AND(K21&gt;6200000,K21&lt;=6500000),0.25,IF(AND(K21&gt;6500000,K21&lt;=6850000),0.5,IF(AND(K21&gt;6850000,K21&lt;=7300000),0.75,IF(AND(K21&gt;7300000,K21&lt;=9200000),1,IF(AND(K21&gt;9200000,K21&lt;=10750000),1.5,IF(AND(K21&gt;10750000,K21&lt;=11250000),2,IF(AND(K21&gt;11250000,K21&lt;=11600000),2.5,IF(AND(K21&gt;11600000,K21&lt;=12600000),3,IF(AND(K21&gt;12600000,K21&lt;=13600000),4,IF(AND(K21&gt;13600000,K21&lt;=14950000),5,IF(AND(K21&gt;14950000,K21&lt;=16400000),6,IF(AND(K21&gt;16400000,K21&lt;=18450000),7,IF(AND(K21&gt;18450000,K21&lt;=21850000),8,IF(AND(K21&gt;21850000,K21&lt;=26000000),9,IF(AND(K21&gt;26000000,K21&lt;=27700000),10,IF(AND(K21&gt;27700000,K21&lt;=29350000),11,IF(AND(K21&gt;29350000,K21&lt;=31450000),12,IF(AND(K21&gt;31450000,K21&lt;=33950000),13,IF(AND(K21&gt;33950000,K21&lt;=37100000),14,IF(AND(K21&gt;37100000,K21&lt;=41100000),15,IF(AND(K21&gt;41100000,K21&lt;=45800000),16,IF(AND(K21&gt;45800000,K21&lt;=49500000),17,IF(AND(K21&gt;49500000,K21&lt;=53800000),18,IF(AND(K21&gt;53800000,K21&lt;=58500000),19,IF(AND(K21&gt;58500000,K21&lt;=64000000),20,IF(AND(K21&gt;64000000,K21&lt;=71000000),21,IF(AND(K21&gt;71000000,K21&lt;=80000000),22,IF(AND(K21&gt;80000000,K21&lt;=93000000),23,IF(AND(K21&gt;93000000,K21&lt;=109000000),24,IF(AND(K21&gt;109000000,K21&lt;=129000000),25,IF(AND(K21&gt;129000000,K21&lt;=163000000),26,IF(AND(K21&gt;163000000,K21&lt;=211000000),27,IF(AND(K21&gt;211000000,K21&lt;=374000000),28,IF(AND(K21&gt;374000000,K21&lt;=459000000),29,IF(AND(K21&gt;459000000,K21&lt;=555000000),30,IF(AND(K21&gt;555000000,K21&lt;=704000000),31,IF(AND(K21&gt;704000000,K21&lt;=957000000),32,IF(AND(K21&gt;957000000,K21&lt;=1405000000),33,34)))))))))))))))))))))))))))))))))))))))</f>
        <v>0</v>
      </c>
      <c r="R21" s="10">
        <f>IF(K21&lt;=6600000,0,IF(AND(K21&gt;6600000,K21&lt;=6950000),0.25,IF(AND(K21&gt;6950000,K21&lt;=7350000),0.5,IF(AND(K21&gt;7350000,K21&lt;=7800000),0.75,IF(AND(K21&gt;7800000,K21&lt;=8850000),1,IF(AND(K21&gt;8850000,K21&lt;=9800000),1.25,IF(AND(K21&gt;9800000,K21&lt;=10950000),1.5,IF(AND(K21&gt;10950000,K21&lt;=11200000),1.75,IF(AND(K21&gt;11200000,K21&lt;=12050000),2,IF(AND(K21&gt;12050000,K21&lt;=12950000),3,IF(AND(K21&gt;12950000,K21&lt;=14150000),4,IF(AND(K21&gt;14150000,K21&lt;=15550000),5,IF(AND(K21&gt;15550000,K21&lt;=17050000),6,IF(AND(K21&gt;17050000,K21&lt;=19500000),7,IF(AND(K21&gt;19500000,K21&lt;=22700000),8,IF(AND(K21&gt;22700000,K21&lt;=26600000),9,IF(AND(K21&gt;26600000,K21&lt;=28100000),10,IF(AND(K21&gt;28100000,K21&lt;=30100000),11,IF(AND(K21&gt;30100000,K21&lt;=32600000),12,IF(AND(K21&gt;32600000,K21&lt;=35400000),13,IF(AND(K21&gt;35400000,K21&lt;=38900000),14,IF(AND(K21&gt;38900000,K21&lt;=43000000),15,IF(AND(K21&gt;43000000,K21&lt;=47400000),16,IF(AND(K21&gt;47400000,K21&lt;=51200000),17,IF(AND(K21&gt;51200000,K21&lt;=55800000),18,IF(AND(K21&gt;55800000,K21&lt;=60400000),19,IF(AND(K21&gt;60400000,K21&lt;=66700000),20,IF(AND(K21&gt;66700000,K21&lt;=74500000),21,IF(AND(K21&gt;74500000,K21&lt;=83200000),22,IF(AND(K21&gt;83200000,K21&lt;=95600000),23,IF(AND(K21&gt;95600000,K21&lt;=110000000),24,IF(AND(K21&gt;110000000,K21&lt;=134000000),25,IF(AND(K21&gt;134000000,K21&lt;=169000000),26,IF(AND(K21&gt;169000000,K21&lt;=221000000),27,IF(AND(K21&gt;221000000,K21&lt;=390000000),28,IF(AND(K21&gt;390000000,K21&lt;=463000000),29,IF(AND(K21&gt;463000000,K21&lt;=561000000),30,IF(AND(K21&gt;561000000,K21&lt;=709000000),31,IF(AND(K21&gt;709000000,K21&lt;=965000000),32,IF(AND(K21&gt;965000000,K21&lt;=1419000000),33,34))))))))))))))))))))))))))))))))))))))))</f>
        <v>0</v>
      </c>
      <c r="S21" s="10"/>
      <c r="T21" s="10"/>
    </row>
    <row r="22" spans="1:21">
      <c r="D22" s="1"/>
      <c r="E22" s="1"/>
      <c r="G22" s="1"/>
      <c r="H22" s="1"/>
      <c r="I22" s="1"/>
      <c r="J22" s="1"/>
      <c r="L22">
        <f>IF(OR(G22="TK/0",G22="TK/1",G22="K/0",G22="HB/0",G22="HB/1"),P22,IF(OR(G22="TK/2",G22="TK/3",G22="K/1",G22="K/2",G22="HB/2",G22="HB/3"),Q22,R22))</f>
        <v>0</v>
      </c>
      <c r="M22" s="1"/>
      <c r="N22" s="2"/>
      <c r="P22" s="10">
        <f>IF(K22&lt;=5400000,0,IF(AND(K22&gt;5400000,K22&lt;=5650000),0.25,IF(AND(K22&gt;5650000,K22&lt;=5950000),0.5,IF(AND(K22&gt;5950000,K22&lt;=6300000),0.75,IF(AND(K22&gt;6300000,K22&lt;=6750000),1,IF(AND(K22&gt;6750000,K22&lt;=7500000),1.25,IF(AND(K22&gt;7500000,K22&lt;=8550000),1.5,IF(AND(K22&gt;8550000,K22&lt;=9650000),1.75,IF(AND(K22&gt;9650000,K22&lt;=10050000),2,IF(AND(K22&gt;10050000,K22&lt;=10350000),2.25,IF(AND(K22&gt;10350000,K22&lt;=10700000),2.5,IF(AND(K22&gt;10700000,K22&lt;=11050000),3,IF(AND(K22&gt;11050000,K22&lt;=11600000),3.5,IF(AND(K22&gt;11600000,K22&lt;=12500000),4,IF(AND(K22&gt;12500000,K22&lt;=13750000),5,IF(AND(K22&gt;13750000,K22&lt;=15100000),6,IF(AND(K22&gt;15100000,K22&lt;=16950000),7,IF(AND(K22&gt;16950000,K22&lt;=19750000),8,IF(AND(K22&gt;19750000,K22&lt;=24150000),9,IF(AND(K22&gt;24150000,K22&lt;=26450000),10,IF(AND(K22&gt;26450000,K22&lt;=28000000),11,IF(AND(K22&gt;28000000,K22&lt;=30050000),12,IF(AND(K22&gt;30050000,K22&lt;=32400000),13,IF(AND(K22&gt;32400000,K22&lt;=35400000),14,IF(AND(K22&gt;35400000,K22&lt;=39100000),15,IF(AND(K22&gt;39100000,K22&lt;=43850000),16,IF(AND(K22&gt;43850000,K22&lt;=47800000),17,IF(AND(K22&gt;47800000,K22&lt;=51400000),18,IF(AND(K22&gt;51400000,K22&lt;=56300000),19,IF(AND(K22&gt;56300000,K22&lt;=62200000),20,IF(AND(K22&gt;62200000,K22&lt;=68600000),21,IF(AND(K22&gt;68600000,K22&lt;=77500000),22,IF(AND(K22&gt;77500000,K22&lt;=89000000),23,IF(AND(K22&gt;89000000,K22&lt;=103000000),24,IF(AND(K22&gt;103000000,K22&lt;=125000000),25,IF(AND(K22&gt;125000000,K22&lt;=157000000),26,IF(AND(K22&gt;157000000,K22&lt;=206000000),27,IF(AND(K22&gt;206000000,K22&lt;=337000000),28,IF(AND(K22&gt;337000000,K22&lt;=454000000),29,IF(AND(K22&gt;454000000,K22&lt;=550000000),30,IF(AND(K22&gt;550000000,K22&lt;=695000000),31,IF(AND(K22&gt;695000000,K22&lt;=910000000),32,IF(AND(K22&gt;910000000,K22&lt;=1400000000),33,34)))))))))))))))))))))))))))))))))))))))))))</f>
        <v>0</v>
      </c>
      <c r="Q22" s="10">
        <f>IF(K22&lt;=6200000,0,IF(AND(K22&gt;6200000,K22&lt;=6500000),0.25,IF(AND(K22&gt;6500000,K22&lt;=6850000),0.5,IF(AND(K22&gt;6850000,K22&lt;=7300000),0.75,IF(AND(K22&gt;7300000,K22&lt;=9200000),1,IF(AND(K22&gt;9200000,K22&lt;=10750000),1.5,IF(AND(K22&gt;10750000,K22&lt;=11250000),2,IF(AND(K22&gt;11250000,K22&lt;=11600000),2.5,IF(AND(K22&gt;11600000,K22&lt;=12600000),3,IF(AND(K22&gt;12600000,K22&lt;=13600000),4,IF(AND(K22&gt;13600000,K22&lt;=14950000),5,IF(AND(K22&gt;14950000,K22&lt;=16400000),6,IF(AND(K22&gt;16400000,K22&lt;=18450000),7,IF(AND(K22&gt;18450000,K22&lt;=21850000),8,IF(AND(K22&gt;21850000,K22&lt;=26000000),9,IF(AND(K22&gt;26000000,K22&lt;=27700000),10,IF(AND(K22&gt;27700000,K22&lt;=29350000),11,IF(AND(K22&gt;29350000,K22&lt;=31450000),12,IF(AND(K22&gt;31450000,K22&lt;=33950000),13,IF(AND(K22&gt;33950000,K22&lt;=37100000),14,IF(AND(K22&gt;37100000,K22&lt;=41100000),15,IF(AND(K22&gt;41100000,K22&lt;=45800000),16,IF(AND(K22&gt;45800000,K22&lt;=49500000),17,IF(AND(K22&gt;49500000,K22&lt;=53800000),18,IF(AND(K22&gt;53800000,K22&lt;=58500000),19,IF(AND(K22&gt;58500000,K22&lt;=64000000),20,IF(AND(K22&gt;64000000,K22&lt;=71000000),21,IF(AND(K22&gt;71000000,K22&lt;=80000000),22,IF(AND(K22&gt;80000000,K22&lt;=93000000),23,IF(AND(K22&gt;93000000,K22&lt;=109000000),24,IF(AND(K22&gt;109000000,K22&lt;=129000000),25,IF(AND(K22&gt;129000000,K22&lt;=163000000),26,IF(AND(K22&gt;163000000,K22&lt;=211000000),27,IF(AND(K22&gt;211000000,K22&lt;=374000000),28,IF(AND(K22&gt;374000000,K22&lt;=459000000),29,IF(AND(K22&gt;459000000,K22&lt;=555000000),30,IF(AND(K22&gt;555000000,K22&lt;=704000000),31,IF(AND(K22&gt;704000000,K22&lt;=957000000),32,IF(AND(K22&gt;957000000,K22&lt;=1405000000),33,34)))))))))))))))))))))))))))))))))))))))</f>
        <v>0</v>
      </c>
      <c r="R22" s="10">
        <f>IF(K22&lt;=6600000,0,IF(AND(K22&gt;6600000,K22&lt;=6950000),0.25,IF(AND(K22&gt;6950000,K22&lt;=7350000),0.5,IF(AND(K22&gt;7350000,K22&lt;=7800000),0.75,IF(AND(K22&gt;7800000,K22&lt;=8850000),1,IF(AND(K22&gt;8850000,K22&lt;=9800000),1.25,IF(AND(K22&gt;9800000,K22&lt;=10950000),1.5,IF(AND(K22&gt;10950000,K22&lt;=11200000),1.75,IF(AND(K22&gt;11200000,K22&lt;=12050000),2,IF(AND(K22&gt;12050000,K22&lt;=12950000),3,IF(AND(K22&gt;12950000,K22&lt;=14150000),4,IF(AND(K22&gt;14150000,K22&lt;=15550000),5,IF(AND(K22&gt;15550000,K22&lt;=17050000),6,IF(AND(K22&gt;17050000,K22&lt;=19500000),7,IF(AND(K22&gt;19500000,K22&lt;=22700000),8,IF(AND(K22&gt;22700000,K22&lt;=26600000),9,IF(AND(K22&gt;26600000,K22&lt;=28100000),10,IF(AND(K22&gt;28100000,K22&lt;=30100000),11,IF(AND(K22&gt;30100000,K22&lt;=32600000),12,IF(AND(K22&gt;32600000,K22&lt;=35400000),13,IF(AND(K22&gt;35400000,K22&lt;=38900000),14,IF(AND(K22&gt;38900000,K22&lt;=43000000),15,IF(AND(K22&gt;43000000,K22&lt;=47400000),16,IF(AND(K22&gt;47400000,K22&lt;=51200000),17,IF(AND(K22&gt;51200000,K22&lt;=55800000),18,IF(AND(K22&gt;55800000,K22&lt;=60400000),19,IF(AND(K22&gt;60400000,K22&lt;=66700000),20,IF(AND(K22&gt;66700000,K22&lt;=74500000),21,IF(AND(K22&gt;74500000,K22&lt;=83200000),22,IF(AND(K22&gt;83200000,K22&lt;=95600000),23,IF(AND(K22&gt;95600000,K22&lt;=110000000),24,IF(AND(K22&gt;110000000,K22&lt;=134000000),25,IF(AND(K22&gt;134000000,K22&lt;=169000000),26,IF(AND(K22&gt;169000000,K22&lt;=221000000),27,IF(AND(K22&gt;221000000,K22&lt;=390000000),28,IF(AND(K22&gt;390000000,K22&lt;=463000000),29,IF(AND(K22&gt;463000000,K22&lt;=561000000),30,IF(AND(K22&gt;561000000,K22&lt;=709000000),31,IF(AND(K22&gt;709000000,K22&lt;=965000000),32,IF(AND(K22&gt;965000000,K22&lt;=1419000000),33,34))))))))))))))))))))))))))))))))))))))))</f>
        <v>0</v>
      </c>
      <c r="T22" s="10"/>
    </row>
    <row r="23" spans="1:21">
      <c r="D23" s="1"/>
      <c r="E23" s="1"/>
      <c r="G23" s="1"/>
      <c r="H23" s="1"/>
      <c r="I23" s="1"/>
      <c r="J23" s="1"/>
      <c r="L23">
        <f>IF(OR(G23="TK/0",G23="TK/1",G23="K/0",G23="HB/0",G23="HB/1"),P23,IF(OR(G23="TK/2",G23="TK/3",G23="K/1",G23="K/2",G23="HB/2",G23="HB/3"),Q23,R23))</f>
        <v>0</v>
      </c>
      <c r="M23" s="1"/>
      <c r="N23" s="2"/>
      <c r="P23" s="10">
        <f>IF(K23&lt;=5400000,0,IF(AND(K23&gt;5400000,K23&lt;=5650000),0.25,IF(AND(K23&gt;5650000,K23&lt;=5950000),0.5,IF(AND(K23&gt;5950000,K23&lt;=6300000),0.75,IF(AND(K23&gt;6300000,K23&lt;=6750000),1,IF(AND(K23&gt;6750000,K23&lt;=7500000),1.25,IF(AND(K23&gt;7500000,K23&lt;=8550000),1.5,IF(AND(K23&gt;8550000,K23&lt;=9650000),1.75,IF(AND(K23&gt;9650000,K23&lt;=10050000),2,IF(AND(K23&gt;10050000,K23&lt;=10350000),2.25,IF(AND(K23&gt;10350000,K23&lt;=10700000),2.5,IF(AND(K23&gt;10700000,K23&lt;=11050000),3,IF(AND(K23&gt;11050000,K23&lt;=11600000),3.5,IF(AND(K23&gt;11600000,K23&lt;=12500000),4,IF(AND(K23&gt;12500000,K23&lt;=13750000),5,IF(AND(K23&gt;13750000,K23&lt;=15100000),6,IF(AND(K23&gt;15100000,K23&lt;=16950000),7,IF(AND(K23&gt;16950000,K23&lt;=19750000),8,IF(AND(K23&gt;19750000,K23&lt;=24150000),9,IF(AND(K23&gt;24150000,K23&lt;=26450000),10,IF(AND(K23&gt;26450000,K23&lt;=28000000),11,IF(AND(K23&gt;28000000,K23&lt;=30050000),12,IF(AND(K23&gt;30050000,K23&lt;=32400000),13,IF(AND(K23&gt;32400000,K23&lt;=35400000),14,IF(AND(K23&gt;35400000,K23&lt;=39100000),15,IF(AND(K23&gt;39100000,K23&lt;=43850000),16,IF(AND(K23&gt;43850000,K23&lt;=47800000),17,IF(AND(K23&gt;47800000,K23&lt;=51400000),18,IF(AND(K23&gt;51400000,K23&lt;=56300000),19,IF(AND(K23&gt;56300000,K23&lt;=62200000),20,IF(AND(K23&gt;62200000,K23&lt;=68600000),21,IF(AND(K23&gt;68600000,K23&lt;=77500000),22,IF(AND(K23&gt;77500000,K23&lt;=89000000),23,IF(AND(K23&gt;89000000,K23&lt;=103000000),24,IF(AND(K23&gt;103000000,K23&lt;=125000000),25,IF(AND(K23&gt;125000000,K23&lt;=157000000),26,IF(AND(K23&gt;157000000,K23&lt;=206000000),27,IF(AND(K23&gt;206000000,K23&lt;=337000000),28,IF(AND(K23&gt;337000000,K23&lt;=454000000),29,IF(AND(K23&gt;454000000,K23&lt;=550000000),30,IF(AND(K23&gt;550000000,K23&lt;=695000000),31,IF(AND(K23&gt;695000000,K23&lt;=910000000),32,IF(AND(K23&gt;910000000,K23&lt;=1400000000),33,34)))))))))))))))))))))))))))))))))))))))))))</f>
        <v>0</v>
      </c>
      <c r="Q23" s="10">
        <f>IF(K23&lt;=6200000,0,IF(AND(K23&gt;6200000,K23&lt;=6500000),0.25,IF(AND(K23&gt;6500000,K23&lt;=6850000),0.5,IF(AND(K23&gt;6850000,K23&lt;=7300000),0.75,IF(AND(K23&gt;7300000,K23&lt;=9200000),1,IF(AND(K23&gt;9200000,K23&lt;=10750000),1.5,IF(AND(K23&gt;10750000,K23&lt;=11250000),2,IF(AND(K23&gt;11250000,K23&lt;=11600000),2.5,IF(AND(K23&gt;11600000,K23&lt;=12600000),3,IF(AND(K23&gt;12600000,K23&lt;=13600000),4,IF(AND(K23&gt;13600000,K23&lt;=14950000),5,IF(AND(K23&gt;14950000,K23&lt;=16400000),6,IF(AND(K23&gt;16400000,K23&lt;=18450000),7,IF(AND(K23&gt;18450000,K23&lt;=21850000),8,IF(AND(K23&gt;21850000,K23&lt;=26000000),9,IF(AND(K23&gt;26000000,K23&lt;=27700000),10,IF(AND(K23&gt;27700000,K23&lt;=29350000),11,IF(AND(K23&gt;29350000,K23&lt;=31450000),12,IF(AND(K23&gt;31450000,K23&lt;=33950000),13,IF(AND(K23&gt;33950000,K23&lt;=37100000),14,IF(AND(K23&gt;37100000,K23&lt;=41100000),15,IF(AND(K23&gt;41100000,K23&lt;=45800000),16,IF(AND(K23&gt;45800000,K23&lt;=49500000),17,IF(AND(K23&gt;49500000,K23&lt;=53800000),18,IF(AND(K23&gt;53800000,K23&lt;=58500000),19,IF(AND(K23&gt;58500000,K23&lt;=64000000),20,IF(AND(K23&gt;64000000,K23&lt;=71000000),21,IF(AND(K23&gt;71000000,K23&lt;=80000000),22,IF(AND(K23&gt;80000000,K23&lt;=93000000),23,IF(AND(K23&gt;93000000,K23&lt;=109000000),24,IF(AND(K23&gt;109000000,K23&lt;=129000000),25,IF(AND(K23&gt;129000000,K23&lt;=163000000),26,IF(AND(K23&gt;163000000,K23&lt;=211000000),27,IF(AND(K23&gt;211000000,K23&lt;=374000000),28,IF(AND(K23&gt;374000000,K23&lt;=459000000),29,IF(AND(K23&gt;459000000,K23&lt;=555000000),30,IF(AND(K23&gt;555000000,K23&lt;=704000000),31,IF(AND(K23&gt;704000000,K23&lt;=957000000),32,IF(AND(K23&gt;957000000,K23&lt;=1405000000),33,34)))))))))))))))))))))))))))))))))))))))</f>
        <v>0</v>
      </c>
      <c r="R23" s="10">
        <f>IF(K23&lt;=6600000,0,IF(AND(K23&gt;6600000,K23&lt;=6950000),0.25,IF(AND(K23&gt;6950000,K23&lt;=7350000),0.5,IF(AND(K23&gt;7350000,K23&lt;=7800000),0.75,IF(AND(K23&gt;7800000,K23&lt;=8850000),1,IF(AND(K23&gt;8850000,K23&lt;=9800000),1.25,IF(AND(K23&gt;9800000,K23&lt;=10950000),1.5,IF(AND(K23&gt;10950000,K23&lt;=11200000),1.75,IF(AND(K23&gt;11200000,K23&lt;=12050000),2,IF(AND(K23&gt;12050000,K23&lt;=12950000),3,IF(AND(K23&gt;12950000,K23&lt;=14150000),4,IF(AND(K23&gt;14150000,K23&lt;=15550000),5,IF(AND(K23&gt;15550000,K23&lt;=17050000),6,IF(AND(K23&gt;17050000,K23&lt;=19500000),7,IF(AND(K23&gt;19500000,K23&lt;=22700000),8,IF(AND(K23&gt;22700000,K23&lt;=26600000),9,IF(AND(K23&gt;26600000,K23&lt;=28100000),10,IF(AND(K23&gt;28100000,K23&lt;=30100000),11,IF(AND(K23&gt;30100000,K23&lt;=32600000),12,IF(AND(K23&gt;32600000,K23&lt;=35400000),13,IF(AND(K23&gt;35400000,K23&lt;=38900000),14,IF(AND(K23&gt;38900000,K23&lt;=43000000),15,IF(AND(K23&gt;43000000,K23&lt;=47400000),16,IF(AND(K23&gt;47400000,K23&lt;=51200000),17,IF(AND(K23&gt;51200000,K23&lt;=55800000),18,IF(AND(K23&gt;55800000,K23&lt;=60400000),19,IF(AND(K23&gt;60400000,K23&lt;=66700000),20,IF(AND(K23&gt;66700000,K23&lt;=74500000),21,IF(AND(K23&gt;74500000,K23&lt;=83200000),22,IF(AND(K23&gt;83200000,K23&lt;=95600000),23,IF(AND(K23&gt;95600000,K23&lt;=110000000),24,IF(AND(K23&gt;110000000,K23&lt;=134000000),25,IF(AND(K23&gt;134000000,K23&lt;=169000000),26,IF(AND(K23&gt;169000000,K23&lt;=221000000),27,IF(AND(K23&gt;221000000,K23&lt;=390000000),28,IF(AND(K23&gt;390000000,K23&lt;=463000000),29,IF(AND(K23&gt;463000000,K23&lt;=561000000),30,IF(AND(K23&gt;561000000,K23&lt;=709000000),31,IF(AND(K23&gt;709000000,K23&lt;=965000000),32,IF(AND(K23&gt;965000000,K23&lt;=1419000000),33,34))))))))))))))))))))))))))))))))))))))))</f>
        <v>0</v>
      </c>
      <c r="T23" s="10"/>
    </row>
    <row r="24" spans="1:21">
      <c r="D24" s="1"/>
      <c r="E24" s="1"/>
      <c r="G24" s="1"/>
      <c r="H24" s="1"/>
      <c r="I24" s="1"/>
      <c r="J24" s="1"/>
      <c r="L24">
        <f>IF(OR(G24="TK/0",G24="TK/1",G24="K/0",G24="HB/0",G24="HB/1"),P24,IF(OR(G24="TK/2",G24="TK/3",G24="K/1",G24="K/2",G24="HB/2",G24="HB/3"),Q24,R24))</f>
        <v>0</v>
      </c>
      <c r="M24" s="1"/>
      <c r="N24" s="2"/>
      <c r="P24" s="10">
        <f>IF(K24&lt;=5400000,0,IF(AND(K24&gt;5400000,K24&lt;=5650000),0.25,IF(AND(K24&gt;5650000,K24&lt;=5950000),0.5,IF(AND(K24&gt;5950000,K24&lt;=6300000),0.75,IF(AND(K24&gt;6300000,K24&lt;=6750000),1,IF(AND(K24&gt;6750000,K24&lt;=7500000),1.25,IF(AND(K24&gt;7500000,K24&lt;=8550000),1.5,IF(AND(K24&gt;8550000,K24&lt;=9650000),1.75,IF(AND(K24&gt;9650000,K24&lt;=10050000),2,IF(AND(K24&gt;10050000,K24&lt;=10350000),2.25,IF(AND(K24&gt;10350000,K24&lt;=10700000),2.5,IF(AND(K24&gt;10700000,K24&lt;=11050000),3,IF(AND(K24&gt;11050000,K24&lt;=11600000),3.5,IF(AND(K24&gt;11600000,K24&lt;=12500000),4,IF(AND(K24&gt;12500000,K24&lt;=13750000),5,IF(AND(K24&gt;13750000,K24&lt;=15100000),6,IF(AND(K24&gt;15100000,K24&lt;=16950000),7,IF(AND(K24&gt;16950000,K24&lt;=19750000),8,IF(AND(K24&gt;19750000,K24&lt;=24150000),9,IF(AND(K24&gt;24150000,K24&lt;=26450000),10,IF(AND(K24&gt;26450000,K24&lt;=28000000),11,IF(AND(K24&gt;28000000,K24&lt;=30050000),12,IF(AND(K24&gt;30050000,K24&lt;=32400000),13,IF(AND(K24&gt;32400000,K24&lt;=35400000),14,IF(AND(K24&gt;35400000,K24&lt;=39100000),15,IF(AND(K24&gt;39100000,K24&lt;=43850000),16,IF(AND(K24&gt;43850000,K24&lt;=47800000),17,IF(AND(K24&gt;47800000,K24&lt;=51400000),18,IF(AND(K24&gt;51400000,K24&lt;=56300000),19,IF(AND(K24&gt;56300000,K24&lt;=62200000),20,IF(AND(K24&gt;62200000,K24&lt;=68600000),21,IF(AND(K24&gt;68600000,K24&lt;=77500000),22,IF(AND(K24&gt;77500000,K24&lt;=89000000),23,IF(AND(K24&gt;89000000,K24&lt;=103000000),24,IF(AND(K24&gt;103000000,K24&lt;=125000000),25,IF(AND(K24&gt;125000000,K24&lt;=157000000),26,IF(AND(K24&gt;157000000,K24&lt;=206000000),27,IF(AND(K24&gt;206000000,K24&lt;=337000000),28,IF(AND(K24&gt;337000000,K24&lt;=454000000),29,IF(AND(K24&gt;454000000,K24&lt;=550000000),30,IF(AND(K24&gt;550000000,K24&lt;=695000000),31,IF(AND(K24&gt;695000000,K24&lt;=910000000),32,IF(AND(K24&gt;910000000,K24&lt;=1400000000),33,34)))))))))))))))))))))))))))))))))))))))))))</f>
        <v>0</v>
      </c>
      <c r="Q24" s="10">
        <f>IF(K24&lt;=6200000,0,IF(AND(K24&gt;6200000,K24&lt;=6500000),0.25,IF(AND(K24&gt;6500000,K24&lt;=6850000),0.5,IF(AND(K24&gt;6850000,K24&lt;=7300000),0.75,IF(AND(K24&gt;7300000,K24&lt;=9200000),1,IF(AND(K24&gt;9200000,K24&lt;=10750000),1.5,IF(AND(K24&gt;10750000,K24&lt;=11250000),2,IF(AND(K24&gt;11250000,K24&lt;=11600000),2.5,IF(AND(K24&gt;11600000,K24&lt;=12600000),3,IF(AND(K24&gt;12600000,K24&lt;=13600000),4,IF(AND(K24&gt;13600000,K24&lt;=14950000),5,IF(AND(K24&gt;14950000,K24&lt;=16400000),6,IF(AND(K24&gt;16400000,K24&lt;=18450000),7,IF(AND(K24&gt;18450000,K24&lt;=21850000),8,IF(AND(K24&gt;21850000,K24&lt;=26000000),9,IF(AND(K24&gt;26000000,K24&lt;=27700000),10,IF(AND(K24&gt;27700000,K24&lt;=29350000),11,IF(AND(K24&gt;29350000,K24&lt;=31450000),12,IF(AND(K24&gt;31450000,K24&lt;=33950000),13,IF(AND(K24&gt;33950000,K24&lt;=37100000),14,IF(AND(K24&gt;37100000,K24&lt;=41100000),15,IF(AND(K24&gt;41100000,K24&lt;=45800000),16,IF(AND(K24&gt;45800000,K24&lt;=49500000),17,IF(AND(K24&gt;49500000,K24&lt;=53800000),18,IF(AND(K24&gt;53800000,K24&lt;=58500000),19,IF(AND(K24&gt;58500000,K24&lt;=64000000),20,IF(AND(K24&gt;64000000,K24&lt;=71000000),21,IF(AND(K24&gt;71000000,K24&lt;=80000000),22,IF(AND(K24&gt;80000000,K24&lt;=93000000),23,IF(AND(K24&gt;93000000,K24&lt;=109000000),24,IF(AND(K24&gt;109000000,K24&lt;=129000000),25,IF(AND(K24&gt;129000000,K24&lt;=163000000),26,IF(AND(K24&gt;163000000,K24&lt;=211000000),27,IF(AND(K24&gt;211000000,K24&lt;=374000000),28,IF(AND(K24&gt;374000000,K24&lt;=459000000),29,IF(AND(K24&gt;459000000,K24&lt;=555000000),30,IF(AND(K24&gt;555000000,K24&lt;=704000000),31,IF(AND(K24&gt;704000000,K24&lt;=957000000),32,IF(AND(K24&gt;957000000,K24&lt;=1405000000),33,34)))))))))))))))))))))))))))))))))))))))</f>
        <v>0</v>
      </c>
      <c r="R24" s="10">
        <f>IF(K24&lt;=6600000,0,IF(AND(K24&gt;6600000,K24&lt;=6950000),0.25,IF(AND(K24&gt;6950000,K24&lt;=7350000),0.5,IF(AND(K24&gt;7350000,K24&lt;=7800000),0.75,IF(AND(K24&gt;7800000,K24&lt;=8850000),1,IF(AND(K24&gt;8850000,K24&lt;=9800000),1.25,IF(AND(K24&gt;9800000,K24&lt;=10950000),1.5,IF(AND(K24&gt;10950000,K24&lt;=11200000),1.75,IF(AND(K24&gt;11200000,K24&lt;=12050000),2,IF(AND(K24&gt;12050000,K24&lt;=12950000),3,IF(AND(K24&gt;12950000,K24&lt;=14150000),4,IF(AND(K24&gt;14150000,K24&lt;=15550000),5,IF(AND(K24&gt;15550000,K24&lt;=17050000),6,IF(AND(K24&gt;17050000,K24&lt;=19500000),7,IF(AND(K24&gt;19500000,K24&lt;=22700000),8,IF(AND(K24&gt;22700000,K24&lt;=26600000),9,IF(AND(K24&gt;26600000,K24&lt;=28100000),10,IF(AND(K24&gt;28100000,K24&lt;=30100000),11,IF(AND(K24&gt;30100000,K24&lt;=32600000),12,IF(AND(K24&gt;32600000,K24&lt;=35400000),13,IF(AND(K24&gt;35400000,K24&lt;=38900000),14,IF(AND(K24&gt;38900000,K24&lt;=43000000),15,IF(AND(K24&gt;43000000,K24&lt;=47400000),16,IF(AND(K24&gt;47400000,K24&lt;=51200000),17,IF(AND(K24&gt;51200000,K24&lt;=55800000),18,IF(AND(K24&gt;55800000,K24&lt;=60400000),19,IF(AND(K24&gt;60400000,K24&lt;=66700000),20,IF(AND(K24&gt;66700000,K24&lt;=74500000),21,IF(AND(K24&gt;74500000,K24&lt;=83200000),22,IF(AND(K24&gt;83200000,K24&lt;=95600000),23,IF(AND(K24&gt;95600000,K24&lt;=110000000),24,IF(AND(K24&gt;110000000,K24&lt;=134000000),25,IF(AND(K24&gt;134000000,K24&lt;=169000000),26,IF(AND(K24&gt;169000000,K24&lt;=221000000),27,IF(AND(K24&gt;221000000,K24&lt;=390000000),28,IF(AND(K24&gt;390000000,K24&lt;=463000000),29,IF(AND(K24&gt;463000000,K24&lt;=561000000),30,IF(AND(K24&gt;561000000,K24&lt;=709000000),31,IF(AND(K24&gt;709000000,K24&lt;=965000000),32,IF(AND(K24&gt;965000000,K24&lt;=1419000000),33,34))))))))))))))))))))))))))))))))))))))))</f>
        <v>0</v>
      </c>
      <c r="T24" s="10"/>
    </row>
    <row r="25" spans="1:21">
      <c r="D25" s="1"/>
      <c r="E25" s="1"/>
      <c r="G25" s="1"/>
      <c r="H25" s="1"/>
      <c r="I25" s="1"/>
      <c r="J25" s="1"/>
      <c r="L25">
        <f>IF(OR(G25="TK/0",G25="TK/1",G25="K/0",G25="HB/0",G25="HB/1"),P25,IF(OR(G25="TK/2",G25="TK/3",G25="K/1",G25="K/2",G25="HB/2",G25="HB/3"),Q25,R25))</f>
        <v>0</v>
      </c>
      <c r="M25" s="1"/>
      <c r="N25" s="2"/>
      <c r="P25" s="10">
        <f>IF(K25&lt;=5400000,0,IF(AND(K25&gt;5400000,K25&lt;=5650000),0.25,IF(AND(K25&gt;5650000,K25&lt;=5950000),0.5,IF(AND(K25&gt;5950000,K25&lt;=6300000),0.75,IF(AND(K25&gt;6300000,K25&lt;=6750000),1,IF(AND(K25&gt;6750000,K25&lt;=7500000),1.25,IF(AND(K25&gt;7500000,K25&lt;=8550000),1.5,IF(AND(K25&gt;8550000,K25&lt;=9650000),1.75,IF(AND(K25&gt;9650000,K25&lt;=10050000),2,IF(AND(K25&gt;10050000,K25&lt;=10350000),2.25,IF(AND(K25&gt;10350000,K25&lt;=10700000),2.5,IF(AND(K25&gt;10700000,K25&lt;=11050000),3,IF(AND(K25&gt;11050000,K25&lt;=11600000),3.5,IF(AND(K25&gt;11600000,K25&lt;=12500000),4,IF(AND(K25&gt;12500000,K25&lt;=13750000),5,IF(AND(K25&gt;13750000,K25&lt;=15100000),6,IF(AND(K25&gt;15100000,K25&lt;=16950000),7,IF(AND(K25&gt;16950000,K25&lt;=19750000),8,IF(AND(K25&gt;19750000,K25&lt;=24150000),9,IF(AND(K25&gt;24150000,K25&lt;=26450000),10,IF(AND(K25&gt;26450000,K25&lt;=28000000),11,IF(AND(K25&gt;28000000,K25&lt;=30050000),12,IF(AND(K25&gt;30050000,K25&lt;=32400000),13,IF(AND(K25&gt;32400000,K25&lt;=35400000),14,IF(AND(K25&gt;35400000,K25&lt;=39100000),15,IF(AND(K25&gt;39100000,K25&lt;=43850000),16,IF(AND(K25&gt;43850000,K25&lt;=47800000),17,IF(AND(K25&gt;47800000,K25&lt;=51400000),18,IF(AND(K25&gt;51400000,K25&lt;=56300000),19,IF(AND(K25&gt;56300000,K25&lt;=62200000),20,IF(AND(K25&gt;62200000,K25&lt;=68600000),21,IF(AND(K25&gt;68600000,K25&lt;=77500000),22,IF(AND(K25&gt;77500000,K25&lt;=89000000),23,IF(AND(K25&gt;89000000,K25&lt;=103000000),24,IF(AND(K25&gt;103000000,K25&lt;=125000000),25,IF(AND(K25&gt;125000000,K25&lt;=157000000),26,IF(AND(K25&gt;157000000,K25&lt;=206000000),27,IF(AND(K25&gt;206000000,K25&lt;=337000000),28,IF(AND(K25&gt;337000000,K25&lt;=454000000),29,IF(AND(K25&gt;454000000,K25&lt;=550000000),30,IF(AND(K25&gt;550000000,K25&lt;=695000000),31,IF(AND(K25&gt;695000000,K25&lt;=910000000),32,IF(AND(K25&gt;910000000,K25&lt;=1400000000),33,34)))))))))))))))))))))))))))))))))))))))))))</f>
        <v>0</v>
      </c>
      <c r="Q25" s="10">
        <f>IF(K25&lt;=6200000,0,IF(AND(K25&gt;6200000,K25&lt;=6500000),0.25,IF(AND(K25&gt;6500000,K25&lt;=6850000),0.5,IF(AND(K25&gt;6850000,K25&lt;=7300000),0.75,IF(AND(K25&gt;7300000,K25&lt;=9200000),1,IF(AND(K25&gt;9200000,K25&lt;=10750000),1.5,IF(AND(K25&gt;10750000,K25&lt;=11250000),2,IF(AND(K25&gt;11250000,K25&lt;=11600000),2.5,IF(AND(K25&gt;11600000,K25&lt;=12600000),3,IF(AND(K25&gt;12600000,K25&lt;=13600000),4,IF(AND(K25&gt;13600000,K25&lt;=14950000),5,IF(AND(K25&gt;14950000,K25&lt;=16400000),6,IF(AND(K25&gt;16400000,K25&lt;=18450000),7,IF(AND(K25&gt;18450000,K25&lt;=21850000),8,IF(AND(K25&gt;21850000,K25&lt;=26000000),9,IF(AND(K25&gt;26000000,K25&lt;=27700000),10,IF(AND(K25&gt;27700000,K25&lt;=29350000),11,IF(AND(K25&gt;29350000,K25&lt;=31450000),12,IF(AND(K25&gt;31450000,K25&lt;=33950000),13,IF(AND(K25&gt;33950000,K25&lt;=37100000),14,IF(AND(K25&gt;37100000,K25&lt;=41100000),15,IF(AND(K25&gt;41100000,K25&lt;=45800000),16,IF(AND(K25&gt;45800000,K25&lt;=49500000),17,IF(AND(K25&gt;49500000,K25&lt;=53800000),18,IF(AND(K25&gt;53800000,K25&lt;=58500000),19,IF(AND(K25&gt;58500000,K25&lt;=64000000),20,IF(AND(K25&gt;64000000,K25&lt;=71000000),21,IF(AND(K25&gt;71000000,K25&lt;=80000000),22,IF(AND(K25&gt;80000000,K25&lt;=93000000),23,IF(AND(K25&gt;93000000,K25&lt;=109000000),24,IF(AND(K25&gt;109000000,K25&lt;=129000000),25,IF(AND(K25&gt;129000000,K25&lt;=163000000),26,IF(AND(K25&gt;163000000,K25&lt;=211000000),27,IF(AND(K25&gt;211000000,K25&lt;=374000000),28,IF(AND(K25&gt;374000000,K25&lt;=459000000),29,IF(AND(K25&gt;459000000,K25&lt;=555000000),30,IF(AND(K25&gt;555000000,K25&lt;=704000000),31,IF(AND(K25&gt;704000000,K25&lt;=957000000),32,IF(AND(K25&gt;957000000,K25&lt;=1405000000),33,34)))))))))))))))))))))))))))))))))))))))</f>
        <v>0</v>
      </c>
      <c r="R25" s="10">
        <f>IF(K25&lt;=6600000,0,IF(AND(K25&gt;6600000,K25&lt;=6950000),0.25,IF(AND(K25&gt;6950000,K25&lt;=7350000),0.5,IF(AND(K25&gt;7350000,K25&lt;=7800000),0.75,IF(AND(K25&gt;7800000,K25&lt;=8850000),1,IF(AND(K25&gt;8850000,K25&lt;=9800000),1.25,IF(AND(K25&gt;9800000,K25&lt;=10950000),1.5,IF(AND(K25&gt;10950000,K25&lt;=11200000),1.75,IF(AND(K25&gt;11200000,K25&lt;=12050000),2,IF(AND(K25&gt;12050000,K25&lt;=12950000),3,IF(AND(K25&gt;12950000,K25&lt;=14150000),4,IF(AND(K25&gt;14150000,K25&lt;=15550000),5,IF(AND(K25&gt;15550000,K25&lt;=17050000),6,IF(AND(K25&gt;17050000,K25&lt;=19500000),7,IF(AND(K25&gt;19500000,K25&lt;=22700000),8,IF(AND(K25&gt;22700000,K25&lt;=26600000),9,IF(AND(K25&gt;26600000,K25&lt;=28100000),10,IF(AND(K25&gt;28100000,K25&lt;=30100000),11,IF(AND(K25&gt;30100000,K25&lt;=32600000),12,IF(AND(K25&gt;32600000,K25&lt;=35400000),13,IF(AND(K25&gt;35400000,K25&lt;=38900000),14,IF(AND(K25&gt;38900000,K25&lt;=43000000),15,IF(AND(K25&gt;43000000,K25&lt;=47400000),16,IF(AND(K25&gt;47400000,K25&lt;=51200000),17,IF(AND(K25&gt;51200000,K25&lt;=55800000),18,IF(AND(K25&gt;55800000,K25&lt;=60400000),19,IF(AND(K25&gt;60400000,K25&lt;=66700000),20,IF(AND(K25&gt;66700000,K25&lt;=74500000),21,IF(AND(K25&gt;74500000,K25&lt;=83200000),22,IF(AND(K25&gt;83200000,K25&lt;=95600000),23,IF(AND(K25&gt;95600000,K25&lt;=110000000),24,IF(AND(K25&gt;110000000,K25&lt;=134000000),25,IF(AND(K25&gt;134000000,K25&lt;=169000000),26,IF(AND(K25&gt;169000000,K25&lt;=221000000),27,IF(AND(K25&gt;221000000,K25&lt;=390000000),28,IF(AND(K25&gt;390000000,K25&lt;=463000000),29,IF(AND(K25&gt;463000000,K25&lt;=561000000),30,IF(AND(K25&gt;561000000,K25&lt;=709000000),31,IF(AND(K25&gt;709000000,K25&lt;=965000000),32,IF(AND(K25&gt;965000000,K25&lt;=1419000000),33,34))))))))))))))))))))))))))))))))))))))))</f>
        <v>0</v>
      </c>
      <c r="T25" s="10"/>
    </row>
    <row r="26" spans="1:21">
      <c r="D26" s="1"/>
      <c r="E26" s="1"/>
      <c r="G26" s="1"/>
      <c r="H26" s="1"/>
      <c r="I26" s="1"/>
      <c r="J26" s="1"/>
      <c r="L26">
        <f>IF(OR(G26="TK/0",G26="TK/1",G26="K/0",G26="HB/0",G26="HB/1"),P26,IF(OR(G26="TK/2",G26="TK/3",G26="K/1",G26="K/2",G26="HB/2",G26="HB/3"),Q26,R26))</f>
        <v>0</v>
      </c>
      <c r="M26" s="1"/>
      <c r="N26" s="2"/>
      <c r="P26" s="10">
        <f>IF(K26&lt;=5400000,0,IF(AND(K26&gt;5400000,K26&lt;=5650000),0.25,IF(AND(K26&gt;5650000,K26&lt;=5950000),0.5,IF(AND(K26&gt;5950000,K26&lt;=6300000),0.75,IF(AND(K26&gt;6300000,K26&lt;=6750000),1,IF(AND(K26&gt;6750000,K26&lt;=7500000),1.25,IF(AND(K26&gt;7500000,K26&lt;=8550000),1.5,IF(AND(K26&gt;8550000,K26&lt;=9650000),1.75,IF(AND(K26&gt;9650000,K26&lt;=10050000),2,IF(AND(K26&gt;10050000,K26&lt;=10350000),2.25,IF(AND(K26&gt;10350000,K26&lt;=10700000),2.5,IF(AND(K26&gt;10700000,K26&lt;=11050000),3,IF(AND(K26&gt;11050000,K26&lt;=11600000),3.5,IF(AND(K26&gt;11600000,K26&lt;=12500000),4,IF(AND(K26&gt;12500000,K26&lt;=13750000),5,IF(AND(K26&gt;13750000,K26&lt;=15100000),6,IF(AND(K26&gt;15100000,K26&lt;=16950000),7,IF(AND(K26&gt;16950000,K26&lt;=19750000),8,IF(AND(K26&gt;19750000,K26&lt;=24150000),9,IF(AND(K26&gt;24150000,K26&lt;=26450000),10,IF(AND(K26&gt;26450000,K26&lt;=28000000),11,IF(AND(K26&gt;28000000,K26&lt;=30050000),12,IF(AND(K26&gt;30050000,K26&lt;=32400000),13,IF(AND(K26&gt;32400000,K26&lt;=35400000),14,IF(AND(K26&gt;35400000,K26&lt;=39100000),15,IF(AND(K26&gt;39100000,K26&lt;=43850000),16,IF(AND(K26&gt;43850000,K26&lt;=47800000),17,IF(AND(K26&gt;47800000,K26&lt;=51400000),18,IF(AND(K26&gt;51400000,K26&lt;=56300000),19,IF(AND(K26&gt;56300000,K26&lt;=62200000),20,IF(AND(K26&gt;62200000,K26&lt;=68600000),21,IF(AND(K26&gt;68600000,K26&lt;=77500000),22,IF(AND(K26&gt;77500000,K26&lt;=89000000),23,IF(AND(K26&gt;89000000,K26&lt;=103000000),24,IF(AND(K26&gt;103000000,K26&lt;=125000000),25,IF(AND(K26&gt;125000000,K26&lt;=157000000),26,IF(AND(K26&gt;157000000,K26&lt;=206000000),27,IF(AND(K26&gt;206000000,K26&lt;=337000000),28,IF(AND(K26&gt;337000000,K26&lt;=454000000),29,IF(AND(K26&gt;454000000,K26&lt;=550000000),30,IF(AND(K26&gt;550000000,K26&lt;=695000000),31,IF(AND(K26&gt;695000000,K26&lt;=910000000),32,IF(AND(K26&gt;910000000,K26&lt;=1400000000),33,34)))))))))))))))))))))))))))))))))))))))))))</f>
        <v>0</v>
      </c>
      <c r="Q26" s="10">
        <f>IF(K26&lt;=6200000,0,IF(AND(K26&gt;6200000,K26&lt;=6500000),0.25,IF(AND(K26&gt;6500000,K26&lt;=6850000),0.5,IF(AND(K26&gt;6850000,K26&lt;=7300000),0.75,IF(AND(K26&gt;7300000,K26&lt;=9200000),1,IF(AND(K26&gt;9200000,K26&lt;=10750000),1.5,IF(AND(K26&gt;10750000,K26&lt;=11250000),2,IF(AND(K26&gt;11250000,K26&lt;=11600000),2.5,IF(AND(K26&gt;11600000,K26&lt;=12600000),3,IF(AND(K26&gt;12600000,K26&lt;=13600000),4,IF(AND(K26&gt;13600000,K26&lt;=14950000),5,IF(AND(K26&gt;14950000,K26&lt;=16400000),6,IF(AND(K26&gt;16400000,K26&lt;=18450000),7,IF(AND(K26&gt;18450000,K26&lt;=21850000),8,IF(AND(K26&gt;21850000,K26&lt;=26000000),9,IF(AND(K26&gt;26000000,K26&lt;=27700000),10,IF(AND(K26&gt;27700000,K26&lt;=29350000),11,IF(AND(K26&gt;29350000,K26&lt;=31450000),12,IF(AND(K26&gt;31450000,K26&lt;=33950000),13,IF(AND(K26&gt;33950000,K26&lt;=37100000),14,IF(AND(K26&gt;37100000,K26&lt;=41100000),15,IF(AND(K26&gt;41100000,K26&lt;=45800000),16,IF(AND(K26&gt;45800000,K26&lt;=49500000),17,IF(AND(K26&gt;49500000,K26&lt;=53800000),18,IF(AND(K26&gt;53800000,K26&lt;=58500000),19,IF(AND(K26&gt;58500000,K26&lt;=64000000),20,IF(AND(K26&gt;64000000,K26&lt;=71000000),21,IF(AND(K26&gt;71000000,K26&lt;=80000000),22,IF(AND(K26&gt;80000000,K26&lt;=93000000),23,IF(AND(K26&gt;93000000,K26&lt;=109000000),24,IF(AND(K26&gt;109000000,K26&lt;=129000000),25,IF(AND(K26&gt;129000000,K26&lt;=163000000),26,IF(AND(K26&gt;163000000,K26&lt;=211000000),27,IF(AND(K26&gt;211000000,K26&lt;=374000000),28,IF(AND(K26&gt;374000000,K26&lt;=459000000),29,IF(AND(K26&gt;459000000,K26&lt;=555000000),30,IF(AND(K26&gt;555000000,K26&lt;=704000000),31,IF(AND(K26&gt;704000000,K26&lt;=957000000),32,IF(AND(K26&gt;957000000,K26&lt;=1405000000),33,34)))))))))))))))))))))))))))))))))))))))</f>
        <v>0</v>
      </c>
      <c r="R26" s="10">
        <f>IF(K26&lt;=6600000,0,IF(AND(K26&gt;6600000,K26&lt;=6950000),0.25,IF(AND(K26&gt;6950000,K26&lt;=7350000),0.5,IF(AND(K26&gt;7350000,K26&lt;=7800000),0.75,IF(AND(K26&gt;7800000,K26&lt;=8850000),1,IF(AND(K26&gt;8850000,K26&lt;=9800000),1.25,IF(AND(K26&gt;9800000,K26&lt;=10950000),1.5,IF(AND(K26&gt;10950000,K26&lt;=11200000),1.75,IF(AND(K26&gt;11200000,K26&lt;=12050000),2,IF(AND(K26&gt;12050000,K26&lt;=12950000),3,IF(AND(K26&gt;12950000,K26&lt;=14150000),4,IF(AND(K26&gt;14150000,K26&lt;=15550000),5,IF(AND(K26&gt;15550000,K26&lt;=17050000),6,IF(AND(K26&gt;17050000,K26&lt;=19500000),7,IF(AND(K26&gt;19500000,K26&lt;=22700000),8,IF(AND(K26&gt;22700000,K26&lt;=26600000),9,IF(AND(K26&gt;26600000,K26&lt;=28100000),10,IF(AND(K26&gt;28100000,K26&lt;=30100000),11,IF(AND(K26&gt;30100000,K26&lt;=32600000),12,IF(AND(K26&gt;32600000,K26&lt;=35400000),13,IF(AND(K26&gt;35400000,K26&lt;=38900000),14,IF(AND(K26&gt;38900000,K26&lt;=43000000),15,IF(AND(K26&gt;43000000,K26&lt;=47400000),16,IF(AND(K26&gt;47400000,K26&lt;=51200000),17,IF(AND(K26&gt;51200000,K26&lt;=55800000),18,IF(AND(K26&gt;55800000,K26&lt;=60400000),19,IF(AND(K26&gt;60400000,K26&lt;=66700000),20,IF(AND(K26&gt;66700000,K26&lt;=74500000),21,IF(AND(K26&gt;74500000,K26&lt;=83200000),22,IF(AND(K26&gt;83200000,K26&lt;=95600000),23,IF(AND(K26&gt;95600000,K26&lt;=110000000),24,IF(AND(K26&gt;110000000,K26&lt;=134000000),25,IF(AND(K26&gt;134000000,K26&lt;=169000000),26,IF(AND(K26&gt;169000000,K26&lt;=221000000),27,IF(AND(K26&gt;221000000,K26&lt;=390000000),28,IF(AND(K26&gt;390000000,K26&lt;=463000000),29,IF(AND(K26&gt;463000000,K26&lt;=561000000),30,IF(AND(K26&gt;561000000,K26&lt;=709000000),31,IF(AND(K26&gt;709000000,K26&lt;=965000000),32,IF(AND(K26&gt;965000000,K26&lt;=1419000000),33,34))))))))))))))))))))))))))))))))))))))))</f>
        <v>0</v>
      </c>
      <c r="T26" s="10"/>
    </row>
    <row r="27" spans="1:21">
      <c r="D27" s="1"/>
      <c r="E27" s="1"/>
      <c r="G27" s="1"/>
      <c r="H27" s="1"/>
      <c r="I27" s="1"/>
      <c r="J27" s="1"/>
      <c r="L27">
        <f>IF(OR(G27="TK/0",G27="TK/1",G27="K/0",G27="HB/0",G27="HB/1"),P27,IF(OR(G27="TK/2",G27="TK/3",G27="K/1",G27="K/2",G27="HB/2",G27="HB/3"),Q27,R27))</f>
        <v>0</v>
      </c>
      <c r="M27" s="1"/>
      <c r="N27" s="2"/>
      <c r="P27" s="10">
        <f>IF(K27&lt;=5400000,0,IF(AND(K27&gt;5400000,K27&lt;=5650000),0.25,IF(AND(K27&gt;5650000,K27&lt;=5950000),0.5,IF(AND(K27&gt;5950000,K27&lt;=6300000),0.75,IF(AND(K27&gt;6300000,K27&lt;=6750000),1,IF(AND(K27&gt;6750000,K27&lt;=7500000),1.25,IF(AND(K27&gt;7500000,K27&lt;=8550000),1.5,IF(AND(K27&gt;8550000,K27&lt;=9650000),1.75,IF(AND(K27&gt;9650000,K27&lt;=10050000),2,IF(AND(K27&gt;10050000,K27&lt;=10350000),2.25,IF(AND(K27&gt;10350000,K27&lt;=10700000),2.5,IF(AND(K27&gt;10700000,K27&lt;=11050000),3,IF(AND(K27&gt;11050000,K27&lt;=11600000),3.5,IF(AND(K27&gt;11600000,K27&lt;=12500000),4,IF(AND(K27&gt;12500000,K27&lt;=13750000),5,IF(AND(K27&gt;13750000,K27&lt;=15100000),6,IF(AND(K27&gt;15100000,K27&lt;=16950000),7,IF(AND(K27&gt;16950000,K27&lt;=19750000),8,IF(AND(K27&gt;19750000,K27&lt;=24150000),9,IF(AND(K27&gt;24150000,K27&lt;=26450000),10,IF(AND(K27&gt;26450000,K27&lt;=28000000),11,IF(AND(K27&gt;28000000,K27&lt;=30050000),12,IF(AND(K27&gt;30050000,K27&lt;=32400000),13,IF(AND(K27&gt;32400000,K27&lt;=35400000),14,IF(AND(K27&gt;35400000,K27&lt;=39100000),15,IF(AND(K27&gt;39100000,K27&lt;=43850000),16,IF(AND(K27&gt;43850000,K27&lt;=47800000),17,IF(AND(K27&gt;47800000,K27&lt;=51400000),18,IF(AND(K27&gt;51400000,K27&lt;=56300000),19,IF(AND(K27&gt;56300000,K27&lt;=62200000),20,IF(AND(K27&gt;62200000,K27&lt;=68600000),21,IF(AND(K27&gt;68600000,K27&lt;=77500000),22,IF(AND(K27&gt;77500000,K27&lt;=89000000),23,IF(AND(K27&gt;89000000,K27&lt;=103000000),24,IF(AND(K27&gt;103000000,K27&lt;=125000000),25,IF(AND(K27&gt;125000000,K27&lt;=157000000),26,IF(AND(K27&gt;157000000,K27&lt;=206000000),27,IF(AND(K27&gt;206000000,K27&lt;=337000000),28,IF(AND(K27&gt;337000000,K27&lt;=454000000),29,IF(AND(K27&gt;454000000,K27&lt;=550000000),30,IF(AND(K27&gt;550000000,K27&lt;=695000000),31,IF(AND(K27&gt;695000000,K27&lt;=910000000),32,IF(AND(K27&gt;910000000,K27&lt;=1400000000),33,34)))))))))))))))))))))))))))))))))))))))))))</f>
        <v>0</v>
      </c>
      <c r="Q27" s="10">
        <f>IF(K27&lt;=6200000,0,IF(AND(K27&gt;6200000,K27&lt;=6500000),0.25,IF(AND(K27&gt;6500000,K27&lt;=6850000),0.5,IF(AND(K27&gt;6850000,K27&lt;=7300000),0.75,IF(AND(K27&gt;7300000,K27&lt;=9200000),1,IF(AND(K27&gt;9200000,K27&lt;=10750000),1.5,IF(AND(K27&gt;10750000,K27&lt;=11250000),2,IF(AND(K27&gt;11250000,K27&lt;=11600000),2.5,IF(AND(K27&gt;11600000,K27&lt;=12600000),3,IF(AND(K27&gt;12600000,K27&lt;=13600000),4,IF(AND(K27&gt;13600000,K27&lt;=14950000),5,IF(AND(K27&gt;14950000,K27&lt;=16400000),6,IF(AND(K27&gt;16400000,K27&lt;=18450000),7,IF(AND(K27&gt;18450000,K27&lt;=21850000),8,IF(AND(K27&gt;21850000,K27&lt;=26000000),9,IF(AND(K27&gt;26000000,K27&lt;=27700000),10,IF(AND(K27&gt;27700000,K27&lt;=29350000),11,IF(AND(K27&gt;29350000,K27&lt;=31450000),12,IF(AND(K27&gt;31450000,K27&lt;=33950000),13,IF(AND(K27&gt;33950000,K27&lt;=37100000),14,IF(AND(K27&gt;37100000,K27&lt;=41100000),15,IF(AND(K27&gt;41100000,K27&lt;=45800000),16,IF(AND(K27&gt;45800000,K27&lt;=49500000),17,IF(AND(K27&gt;49500000,K27&lt;=53800000),18,IF(AND(K27&gt;53800000,K27&lt;=58500000),19,IF(AND(K27&gt;58500000,K27&lt;=64000000),20,IF(AND(K27&gt;64000000,K27&lt;=71000000),21,IF(AND(K27&gt;71000000,K27&lt;=80000000),22,IF(AND(K27&gt;80000000,K27&lt;=93000000),23,IF(AND(K27&gt;93000000,K27&lt;=109000000),24,IF(AND(K27&gt;109000000,K27&lt;=129000000),25,IF(AND(K27&gt;129000000,K27&lt;=163000000),26,IF(AND(K27&gt;163000000,K27&lt;=211000000),27,IF(AND(K27&gt;211000000,K27&lt;=374000000),28,IF(AND(K27&gt;374000000,K27&lt;=459000000),29,IF(AND(K27&gt;459000000,K27&lt;=555000000),30,IF(AND(K27&gt;555000000,K27&lt;=704000000),31,IF(AND(K27&gt;704000000,K27&lt;=957000000),32,IF(AND(K27&gt;957000000,K27&lt;=1405000000),33,34)))))))))))))))))))))))))))))))))))))))</f>
        <v>0</v>
      </c>
      <c r="R27" s="10">
        <f>IF(K27&lt;=6600000,0,IF(AND(K27&gt;6600000,K27&lt;=6950000),0.25,IF(AND(K27&gt;6950000,K27&lt;=7350000),0.5,IF(AND(K27&gt;7350000,K27&lt;=7800000),0.75,IF(AND(K27&gt;7800000,K27&lt;=8850000),1,IF(AND(K27&gt;8850000,K27&lt;=9800000),1.25,IF(AND(K27&gt;9800000,K27&lt;=10950000),1.5,IF(AND(K27&gt;10950000,K27&lt;=11200000),1.75,IF(AND(K27&gt;11200000,K27&lt;=12050000),2,IF(AND(K27&gt;12050000,K27&lt;=12950000),3,IF(AND(K27&gt;12950000,K27&lt;=14150000),4,IF(AND(K27&gt;14150000,K27&lt;=15550000),5,IF(AND(K27&gt;15550000,K27&lt;=17050000),6,IF(AND(K27&gt;17050000,K27&lt;=19500000),7,IF(AND(K27&gt;19500000,K27&lt;=22700000),8,IF(AND(K27&gt;22700000,K27&lt;=26600000),9,IF(AND(K27&gt;26600000,K27&lt;=28100000),10,IF(AND(K27&gt;28100000,K27&lt;=30100000),11,IF(AND(K27&gt;30100000,K27&lt;=32600000),12,IF(AND(K27&gt;32600000,K27&lt;=35400000),13,IF(AND(K27&gt;35400000,K27&lt;=38900000),14,IF(AND(K27&gt;38900000,K27&lt;=43000000),15,IF(AND(K27&gt;43000000,K27&lt;=47400000),16,IF(AND(K27&gt;47400000,K27&lt;=51200000),17,IF(AND(K27&gt;51200000,K27&lt;=55800000),18,IF(AND(K27&gt;55800000,K27&lt;=60400000),19,IF(AND(K27&gt;60400000,K27&lt;=66700000),20,IF(AND(K27&gt;66700000,K27&lt;=74500000),21,IF(AND(K27&gt;74500000,K27&lt;=83200000),22,IF(AND(K27&gt;83200000,K27&lt;=95600000),23,IF(AND(K27&gt;95600000,K27&lt;=110000000),24,IF(AND(K27&gt;110000000,K27&lt;=134000000),25,IF(AND(K27&gt;134000000,K27&lt;=169000000),26,IF(AND(K27&gt;169000000,K27&lt;=221000000),27,IF(AND(K27&gt;221000000,K27&lt;=390000000),28,IF(AND(K27&gt;390000000,K27&lt;=463000000),29,IF(AND(K27&gt;463000000,K27&lt;=561000000),30,IF(AND(K27&gt;561000000,K27&lt;=709000000),31,IF(AND(K27&gt;709000000,K27&lt;=965000000),32,IF(AND(K27&gt;965000000,K27&lt;=1419000000),33,34))))))))))))))))))))))))))))))))))))))))</f>
        <v>0</v>
      </c>
      <c r="T27" s="10"/>
    </row>
    <row r="28" spans="1:21">
      <c r="D28" s="1"/>
      <c r="E28" s="1"/>
      <c r="G28" s="1"/>
      <c r="H28" s="1"/>
      <c r="I28" s="1"/>
      <c r="J28" s="1"/>
      <c r="L28">
        <f>IF(OR(G28="TK/0",G28="TK/1",G28="K/0",G28="HB/0",G28="HB/1"),P28,IF(OR(G28="TK/2",G28="TK/3",G28="K/1",G28="K/2",G28="HB/2",G28="HB/3"),Q28,R28))</f>
        <v>0</v>
      </c>
      <c r="M28" s="1"/>
      <c r="N28" s="2"/>
      <c r="P28" s="10">
        <f>IF(K28&lt;=5400000,0,IF(AND(K28&gt;5400000,K28&lt;=5650000),0.25,IF(AND(K28&gt;5650000,K28&lt;=5950000),0.5,IF(AND(K28&gt;5950000,K28&lt;=6300000),0.75,IF(AND(K28&gt;6300000,K28&lt;=6750000),1,IF(AND(K28&gt;6750000,K28&lt;=7500000),1.25,IF(AND(K28&gt;7500000,K28&lt;=8550000),1.5,IF(AND(K28&gt;8550000,K28&lt;=9650000),1.75,IF(AND(K28&gt;9650000,K28&lt;=10050000),2,IF(AND(K28&gt;10050000,K28&lt;=10350000),2.25,IF(AND(K28&gt;10350000,K28&lt;=10700000),2.5,IF(AND(K28&gt;10700000,K28&lt;=11050000),3,IF(AND(K28&gt;11050000,K28&lt;=11600000),3.5,IF(AND(K28&gt;11600000,K28&lt;=12500000),4,IF(AND(K28&gt;12500000,K28&lt;=13750000),5,IF(AND(K28&gt;13750000,K28&lt;=15100000),6,IF(AND(K28&gt;15100000,K28&lt;=16950000),7,IF(AND(K28&gt;16950000,K28&lt;=19750000),8,IF(AND(K28&gt;19750000,K28&lt;=24150000),9,IF(AND(K28&gt;24150000,K28&lt;=26450000),10,IF(AND(K28&gt;26450000,K28&lt;=28000000),11,IF(AND(K28&gt;28000000,K28&lt;=30050000),12,IF(AND(K28&gt;30050000,K28&lt;=32400000),13,IF(AND(K28&gt;32400000,K28&lt;=35400000),14,IF(AND(K28&gt;35400000,K28&lt;=39100000),15,IF(AND(K28&gt;39100000,K28&lt;=43850000),16,IF(AND(K28&gt;43850000,K28&lt;=47800000),17,IF(AND(K28&gt;47800000,K28&lt;=51400000),18,IF(AND(K28&gt;51400000,K28&lt;=56300000),19,IF(AND(K28&gt;56300000,K28&lt;=62200000),20,IF(AND(K28&gt;62200000,K28&lt;=68600000),21,IF(AND(K28&gt;68600000,K28&lt;=77500000),22,IF(AND(K28&gt;77500000,K28&lt;=89000000),23,IF(AND(K28&gt;89000000,K28&lt;=103000000),24,IF(AND(K28&gt;103000000,K28&lt;=125000000),25,IF(AND(K28&gt;125000000,K28&lt;=157000000),26,IF(AND(K28&gt;157000000,K28&lt;=206000000),27,IF(AND(K28&gt;206000000,K28&lt;=337000000),28,IF(AND(K28&gt;337000000,K28&lt;=454000000),29,IF(AND(K28&gt;454000000,K28&lt;=550000000),30,IF(AND(K28&gt;550000000,K28&lt;=695000000),31,IF(AND(K28&gt;695000000,K28&lt;=910000000),32,IF(AND(K28&gt;910000000,K28&lt;=1400000000),33,34)))))))))))))))))))))))))))))))))))))))))))</f>
        <v>0</v>
      </c>
      <c r="Q28" s="10">
        <f>IF(K28&lt;=6200000,0,IF(AND(K28&gt;6200000,K28&lt;=6500000),0.25,IF(AND(K28&gt;6500000,K28&lt;=6850000),0.5,IF(AND(K28&gt;6850000,K28&lt;=7300000),0.75,IF(AND(K28&gt;7300000,K28&lt;=9200000),1,IF(AND(K28&gt;9200000,K28&lt;=10750000),1.5,IF(AND(K28&gt;10750000,K28&lt;=11250000),2,IF(AND(K28&gt;11250000,K28&lt;=11600000),2.5,IF(AND(K28&gt;11600000,K28&lt;=12600000),3,IF(AND(K28&gt;12600000,K28&lt;=13600000),4,IF(AND(K28&gt;13600000,K28&lt;=14950000),5,IF(AND(K28&gt;14950000,K28&lt;=16400000),6,IF(AND(K28&gt;16400000,K28&lt;=18450000),7,IF(AND(K28&gt;18450000,K28&lt;=21850000),8,IF(AND(K28&gt;21850000,K28&lt;=26000000),9,IF(AND(K28&gt;26000000,K28&lt;=27700000),10,IF(AND(K28&gt;27700000,K28&lt;=29350000),11,IF(AND(K28&gt;29350000,K28&lt;=31450000),12,IF(AND(K28&gt;31450000,K28&lt;=33950000),13,IF(AND(K28&gt;33950000,K28&lt;=37100000),14,IF(AND(K28&gt;37100000,K28&lt;=41100000),15,IF(AND(K28&gt;41100000,K28&lt;=45800000),16,IF(AND(K28&gt;45800000,K28&lt;=49500000),17,IF(AND(K28&gt;49500000,K28&lt;=53800000),18,IF(AND(K28&gt;53800000,K28&lt;=58500000),19,IF(AND(K28&gt;58500000,K28&lt;=64000000),20,IF(AND(K28&gt;64000000,K28&lt;=71000000),21,IF(AND(K28&gt;71000000,K28&lt;=80000000),22,IF(AND(K28&gt;80000000,K28&lt;=93000000),23,IF(AND(K28&gt;93000000,K28&lt;=109000000),24,IF(AND(K28&gt;109000000,K28&lt;=129000000),25,IF(AND(K28&gt;129000000,K28&lt;=163000000),26,IF(AND(K28&gt;163000000,K28&lt;=211000000),27,IF(AND(K28&gt;211000000,K28&lt;=374000000),28,IF(AND(K28&gt;374000000,K28&lt;=459000000),29,IF(AND(K28&gt;459000000,K28&lt;=555000000),30,IF(AND(K28&gt;555000000,K28&lt;=704000000),31,IF(AND(K28&gt;704000000,K28&lt;=957000000),32,IF(AND(K28&gt;957000000,K28&lt;=1405000000),33,34)))))))))))))))))))))))))))))))))))))))</f>
        <v>0</v>
      </c>
      <c r="R28" s="10">
        <f>IF(K28&lt;=6600000,0,IF(AND(K28&gt;6600000,K28&lt;=6950000),0.25,IF(AND(K28&gt;6950000,K28&lt;=7350000),0.5,IF(AND(K28&gt;7350000,K28&lt;=7800000),0.75,IF(AND(K28&gt;7800000,K28&lt;=8850000),1,IF(AND(K28&gt;8850000,K28&lt;=9800000),1.25,IF(AND(K28&gt;9800000,K28&lt;=10950000),1.5,IF(AND(K28&gt;10950000,K28&lt;=11200000),1.75,IF(AND(K28&gt;11200000,K28&lt;=12050000),2,IF(AND(K28&gt;12050000,K28&lt;=12950000),3,IF(AND(K28&gt;12950000,K28&lt;=14150000),4,IF(AND(K28&gt;14150000,K28&lt;=15550000),5,IF(AND(K28&gt;15550000,K28&lt;=17050000),6,IF(AND(K28&gt;17050000,K28&lt;=19500000),7,IF(AND(K28&gt;19500000,K28&lt;=22700000),8,IF(AND(K28&gt;22700000,K28&lt;=26600000),9,IF(AND(K28&gt;26600000,K28&lt;=28100000),10,IF(AND(K28&gt;28100000,K28&lt;=30100000),11,IF(AND(K28&gt;30100000,K28&lt;=32600000),12,IF(AND(K28&gt;32600000,K28&lt;=35400000),13,IF(AND(K28&gt;35400000,K28&lt;=38900000),14,IF(AND(K28&gt;38900000,K28&lt;=43000000),15,IF(AND(K28&gt;43000000,K28&lt;=47400000),16,IF(AND(K28&gt;47400000,K28&lt;=51200000),17,IF(AND(K28&gt;51200000,K28&lt;=55800000),18,IF(AND(K28&gt;55800000,K28&lt;=60400000),19,IF(AND(K28&gt;60400000,K28&lt;=66700000),20,IF(AND(K28&gt;66700000,K28&lt;=74500000),21,IF(AND(K28&gt;74500000,K28&lt;=83200000),22,IF(AND(K28&gt;83200000,K28&lt;=95600000),23,IF(AND(K28&gt;95600000,K28&lt;=110000000),24,IF(AND(K28&gt;110000000,K28&lt;=134000000),25,IF(AND(K28&gt;134000000,K28&lt;=169000000),26,IF(AND(K28&gt;169000000,K28&lt;=221000000),27,IF(AND(K28&gt;221000000,K28&lt;=390000000),28,IF(AND(K28&gt;390000000,K28&lt;=463000000),29,IF(AND(K28&gt;463000000,K28&lt;=561000000),30,IF(AND(K28&gt;561000000,K28&lt;=709000000),31,IF(AND(K28&gt;709000000,K28&lt;=965000000),32,IF(AND(K28&gt;965000000,K28&lt;=1419000000),33,34))))))))))))))))))))))))))))))))))))))))</f>
        <v>0</v>
      </c>
      <c r="S28" s="10"/>
      <c r="T28" s="10"/>
    </row>
    <row r="29" spans="1:21">
      <c r="D29" s="1"/>
      <c r="E29" s="1"/>
      <c r="G29" s="1"/>
      <c r="H29" s="1"/>
      <c r="I29" s="1"/>
      <c r="J29" s="1"/>
      <c r="L29">
        <f>IF(OR(G29="TK/0",G29="TK/1",G29="K/0",G29="HB/0",G29="HB/1"),P29,IF(OR(G29="TK/2",G29="TK/3",G29="K/1",G29="K/2",G29="HB/2",G29="HB/3"),Q29,R29))</f>
        <v>0</v>
      </c>
      <c r="M29" s="1"/>
      <c r="N29" s="2"/>
      <c r="P29" s="10">
        <f>IF(K29&lt;=5400000,0,IF(AND(K29&gt;5400000,K29&lt;=5650000),0.25,IF(AND(K29&gt;5650000,K29&lt;=5950000),0.5,IF(AND(K29&gt;5950000,K29&lt;=6300000),0.75,IF(AND(K29&gt;6300000,K29&lt;=6750000),1,IF(AND(K29&gt;6750000,K29&lt;=7500000),1.25,IF(AND(K29&gt;7500000,K29&lt;=8550000),1.5,IF(AND(K29&gt;8550000,K29&lt;=9650000),1.75,IF(AND(K29&gt;9650000,K29&lt;=10050000),2,IF(AND(K29&gt;10050000,K29&lt;=10350000),2.25,IF(AND(K29&gt;10350000,K29&lt;=10700000),2.5,IF(AND(K29&gt;10700000,K29&lt;=11050000),3,IF(AND(K29&gt;11050000,K29&lt;=11600000),3.5,IF(AND(K29&gt;11600000,K29&lt;=12500000),4,IF(AND(K29&gt;12500000,K29&lt;=13750000),5,IF(AND(K29&gt;13750000,K29&lt;=15100000),6,IF(AND(K29&gt;15100000,K29&lt;=16950000),7,IF(AND(K29&gt;16950000,K29&lt;=19750000),8,IF(AND(K29&gt;19750000,K29&lt;=24150000),9,IF(AND(K29&gt;24150000,K29&lt;=26450000),10,IF(AND(K29&gt;26450000,K29&lt;=28000000),11,IF(AND(K29&gt;28000000,K29&lt;=30050000),12,IF(AND(K29&gt;30050000,K29&lt;=32400000),13,IF(AND(K29&gt;32400000,K29&lt;=35400000),14,IF(AND(K29&gt;35400000,K29&lt;=39100000),15,IF(AND(K29&gt;39100000,K29&lt;=43850000),16,IF(AND(K29&gt;43850000,K29&lt;=47800000),17,IF(AND(K29&gt;47800000,K29&lt;=51400000),18,IF(AND(K29&gt;51400000,K29&lt;=56300000),19,IF(AND(K29&gt;56300000,K29&lt;=62200000),20,IF(AND(K29&gt;62200000,K29&lt;=68600000),21,IF(AND(K29&gt;68600000,K29&lt;=77500000),22,IF(AND(K29&gt;77500000,K29&lt;=89000000),23,IF(AND(K29&gt;89000000,K29&lt;=103000000),24,IF(AND(K29&gt;103000000,K29&lt;=125000000),25,IF(AND(K29&gt;125000000,K29&lt;=157000000),26,IF(AND(K29&gt;157000000,K29&lt;=206000000),27,IF(AND(K29&gt;206000000,K29&lt;=337000000),28,IF(AND(K29&gt;337000000,K29&lt;=454000000),29,IF(AND(K29&gt;454000000,K29&lt;=550000000),30,IF(AND(K29&gt;550000000,K29&lt;=695000000),31,IF(AND(K29&gt;695000000,K29&lt;=910000000),32,IF(AND(K29&gt;910000000,K29&lt;=1400000000),33,34)))))))))))))))))))))))))))))))))))))))))))</f>
        <v>0</v>
      </c>
      <c r="Q29" s="10">
        <f>IF(K29&lt;=6200000,0,IF(AND(K29&gt;6200000,K29&lt;=6500000),0.25,IF(AND(K29&gt;6500000,K29&lt;=6850000),0.5,IF(AND(K29&gt;6850000,K29&lt;=7300000),0.75,IF(AND(K29&gt;7300000,K29&lt;=9200000),1,IF(AND(K29&gt;9200000,K29&lt;=10750000),1.5,IF(AND(K29&gt;10750000,K29&lt;=11250000),2,IF(AND(K29&gt;11250000,K29&lt;=11600000),2.5,IF(AND(K29&gt;11600000,K29&lt;=12600000),3,IF(AND(K29&gt;12600000,K29&lt;=13600000),4,IF(AND(K29&gt;13600000,K29&lt;=14950000),5,IF(AND(K29&gt;14950000,K29&lt;=16400000),6,IF(AND(K29&gt;16400000,K29&lt;=18450000),7,IF(AND(K29&gt;18450000,K29&lt;=21850000),8,IF(AND(K29&gt;21850000,K29&lt;=26000000),9,IF(AND(K29&gt;26000000,K29&lt;=27700000),10,IF(AND(K29&gt;27700000,K29&lt;=29350000),11,IF(AND(K29&gt;29350000,K29&lt;=31450000),12,IF(AND(K29&gt;31450000,K29&lt;=33950000),13,IF(AND(K29&gt;33950000,K29&lt;=37100000),14,IF(AND(K29&gt;37100000,K29&lt;=41100000),15,IF(AND(K29&gt;41100000,K29&lt;=45800000),16,IF(AND(K29&gt;45800000,K29&lt;=49500000),17,IF(AND(K29&gt;49500000,K29&lt;=53800000),18,IF(AND(K29&gt;53800000,K29&lt;=58500000),19,IF(AND(K29&gt;58500000,K29&lt;=64000000),20,IF(AND(K29&gt;64000000,K29&lt;=71000000),21,IF(AND(K29&gt;71000000,K29&lt;=80000000),22,IF(AND(K29&gt;80000000,K29&lt;=93000000),23,IF(AND(K29&gt;93000000,K29&lt;=109000000),24,IF(AND(K29&gt;109000000,K29&lt;=129000000),25,IF(AND(K29&gt;129000000,K29&lt;=163000000),26,IF(AND(K29&gt;163000000,K29&lt;=211000000),27,IF(AND(K29&gt;211000000,K29&lt;=374000000),28,IF(AND(K29&gt;374000000,K29&lt;=459000000),29,IF(AND(K29&gt;459000000,K29&lt;=555000000),30,IF(AND(K29&gt;555000000,K29&lt;=704000000),31,IF(AND(K29&gt;704000000,K29&lt;=957000000),32,IF(AND(K29&gt;957000000,K29&lt;=1405000000),33,34)))))))))))))))))))))))))))))))))))))))</f>
        <v>0</v>
      </c>
      <c r="R29" s="10">
        <f>IF(K29&lt;=6600000,0,IF(AND(K29&gt;6600000,K29&lt;=6950000),0.25,IF(AND(K29&gt;6950000,K29&lt;=7350000),0.5,IF(AND(K29&gt;7350000,K29&lt;=7800000),0.75,IF(AND(K29&gt;7800000,K29&lt;=8850000),1,IF(AND(K29&gt;8850000,K29&lt;=9800000),1.25,IF(AND(K29&gt;9800000,K29&lt;=10950000),1.5,IF(AND(K29&gt;10950000,K29&lt;=11200000),1.75,IF(AND(K29&gt;11200000,K29&lt;=12050000),2,IF(AND(K29&gt;12050000,K29&lt;=12950000),3,IF(AND(K29&gt;12950000,K29&lt;=14150000),4,IF(AND(K29&gt;14150000,K29&lt;=15550000),5,IF(AND(K29&gt;15550000,K29&lt;=17050000),6,IF(AND(K29&gt;17050000,K29&lt;=19500000),7,IF(AND(K29&gt;19500000,K29&lt;=22700000),8,IF(AND(K29&gt;22700000,K29&lt;=26600000),9,IF(AND(K29&gt;26600000,K29&lt;=28100000),10,IF(AND(K29&gt;28100000,K29&lt;=30100000),11,IF(AND(K29&gt;30100000,K29&lt;=32600000),12,IF(AND(K29&gt;32600000,K29&lt;=35400000),13,IF(AND(K29&gt;35400000,K29&lt;=38900000),14,IF(AND(K29&gt;38900000,K29&lt;=43000000),15,IF(AND(K29&gt;43000000,K29&lt;=47400000),16,IF(AND(K29&gt;47400000,K29&lt;=51200000),17,IF(AND(K29&gt;51200000,K29&lt;=55800000),18,IF(AND(K29&gt;55800000,K29&lt;=60400000),19,IF(AND(K29&gt;60400000,K29&lt;=66700000),20,IF(AND(K29&gt;66700000,K29&lt;=74500000),21,IF(AND(K29&gt;74500000,K29&lt;=83200000),22,IF(AND(K29&gt;83200000,K29&lt;=95600000),23,IF(AND(K29&gt;95600000,K29&lt;=110000000),24,IF(AND(K29&gt;110000000,K29&lt;=134000000),25,IF(AND(K29&gt;134000000,K29&lt;=169000000),26,IF(AND(K29&gt;169000000,K29&lt;=221000000),27,IF(AND(K29&gt;221000000,K29&lt;=390000000),28,IF(AND(K29&gt;390000000,K29&lt;=463000000),29,IF(AND(K29&gt;463000000,K29&lt;=561000000),30,IF(AND(K29&gt;561000000,K29&lt;=709000000),31,IF(AND(K29&gt;709000000,K29&lt;=965000000),32,IF(AND(K29&gt;965000000,K29&lt;=1419000000),33,34))))))))))))))))))))))))))))))))))))))))</f>
        <v>0</v>
      </c>
      <c r="S29" s="10"/>
      <c r="T29" s="10"/>
    </row>
    <row r="30" spans="1:21">
      <c r="D30" s="1"/>
      <c r="E30" s="1"/>
      <c r="G30" s="1"/>
      <c r="H30" s="1"/>
      <c r="I30" s="1"/>
      <c r="J30" s="1"/>
      <c r="L30">
        <f>IF(OR(G30="TK/0",G30="TK/1",G30="K/0",G30="HB/0",G30="HB/1"),P30,IF(OR(G30="TK/2",G30="TK/3",G30="K/1",G30="K/2",G30="HB/2",G30="HB/3"),Q30,R30))</f>
        <v>0</v>
      </c>
      <c r="M30" s="1"/>
      <c r="N30" s="2"/>
      <c r="P30" s="10">
        <f>IF(K30&lt;=5400000,0,IF(AND(K30&gt;5400000,K30&lt;=5650000),0.25,IF(AND(K30&gt;5650000,K30&lt;=5950000),0.5,IF(AND(K30&gt;5950000,K30&lt;=6300000),0.75,IF(AND(K30&gt;6300000,K30&lt;=6750000),1,IF(AND(K30&gt;6750000,K30&lt;=7500000),1.25,IF(AND(K30&gt;7500000,K30&lt;=8550000),1.5,IF(AND(K30&gt;8550000,K30&lt;=9650000),1.75,IF(AND(K30&gt;9650000,K30&lt;=10050000),2,IF(AND(K30&gt;10050000,K30&lt;=10350000),2.25,IF(AND(K30&gt;10350000,K30&lt;=10700000),2.5,IF(AND(K30&gt;10700000,K30&lt;=11050000),3,IF(AND(K30&gt;11050000,K30&lt;=11600000),3.5,IF(AND(K30&gt;11600000,K30&lt;=12500000),4,IF(AND(K30&gt;12500000,K30&lt;=13750000),5,IF(AND(K30&gt;13750000,K30&lt;=15100000),6,IF(AND(K30&gt;15100000,K30&lt;=16950000),7,IF(AND(K30&gt;16950000,K30&lt;=19750000),8,IF(AND(K30&gt;19750000,K30&lt;=24150000),9,IF(AND(K30&gt;24150000,K30&lt;=26450000),10,IF(AND(K30&gt;26450000,K30&lt;=28000000),11,IF(AND(K30&gt;28000000,K30&lt;=30050000),12,IF(AND(K30&gt;30050000,K30&lt;=32400000),13,IF(AND(K30&gt;32400000,K30&lt;=35400000),14,IF(AND(K30&gt;35400000,K30&lt;=39100000),15,IF(AND(K30&gt;39100000,K30&lt;=43850000),16,IF(AND(K30&gt;43850000,K30&lt;=47800000),17,IF(AND(K30&gt;47800000,K30&lt;=51400000),18,IF(AND(K30&gt;51400000,K30&lt;=56300000),19,IF(AND(K30&gt;56300000,K30&lt;=62200000),20,IF(AND(K30&gt;62200000,K30&lt;=68600000),21,IF(AND(K30&gt;68600000,K30&lt;=77500000),22,IF(AND(K30&gt;77500000,K30&lt;=89000000),23,IF(AND(K30&gt;89000000,K30&lt;=103000000),24,IF(AND(K30&gt;103000000,K30&lt;=125000000),25,IF(AND(K30&gt;125000000,K30&lt;=157000000),26,IF(AND(K30&gt;157000000,K30&lt;=206000000),27,IF(AND(K30&gt;206000000,K30&lt;=337000000),28,IF(AND(K30&gt;337000000,K30&lt;=454000000),29,IF(AND(K30&gt;454000000,K30&lt;=550000000),30,IF(AND(K30&gt;550000000,K30&lt;=695000000),31,IF(AND(K30&gt;695000000,K30&lt;=910000000),32,IF(AND(K30&gt;910000000,K30&lt;=1400000000),33,34)))))))))))))))))))))))))))))))))))))))))))</f>
        <v>0</v>
      </c>
      <c r="Q30" s="10">
        <f>IF(K30&lt;=6200000,0,IF(AND(K30&gt;6200000,K30&lt;=6500000),0.25,IF(AND(K30&gt;6500000,K30&lt;=6850000),0.5,IF(AND(K30&gt;6850000,K30&lt;=7300000),0.75,IF(AND(K30&gt;7300000,K30&lt;=9200000),1,IF(AND(K30&gt;9200000,K30&lt;=10750000),1.5,IF(AND(K30&gt;10750000,K30&lt;=11250000),2,IF(AND(K30&gt;11250000,K30&lt;=11600000),2.5,IF(AND(K30&gt;11600000,K30&lt;=12600000),3,IF(AND(K30&gt;12600000,K30&lt;=13600000),4,IF(AND(K30&gt;13600000,K30&lt;=14950000),5,IF(AND(K30&gt;14950000,K30&lt;=16400000),6,IF(AND(K30&gt;16400000,K30&lt;=18450000),7,IF(AND(K30&gt;18450000,K30&lt;=21850000),8,IF(AND(K30&gt;21850000,K30&lt;=26000000),9,IF(AND(K30&gt;26000000,K30&lt;=27700000),10,IF(AND(K30&gt;27700000,K30&lt;=29350000),11,IF(AND(K30&gt;29350000,K30&lt;=31450000),12,IF(AND(K30&gt;31450000,K30&lt;=33950000),13,IF(AND(K30&gt;33950000,K30&lt;=37100000),14,IF(AND(K30&gt;37100000,K30&lt;=41100000),15,IF(AND(K30&gt;41100000,K30&lt;=45800000),16,IF(AND(K30&gt;45800000,K30&lt;=49500000),17,IF(AND(K30&gt;49500000,K30&lt;=53800000),18,IF(AND(K30&gt;53800000,K30&lt;=58500000),19,IF(AND(K30&gt;58500000,K30&lt;=64000000),20,IF(AND(K30&gt;64000000,K30&lt;=71000000),21,IF(AND(K30&gt;71000000,K30&lt;=80000000),22,IF(AND(K30&gt;80000000,K30&lt;=93000000),23,IF(AND(K30&gt;93000000,K30&lt;=109000000),24,IF(AND(K30&gt;109000000,K30&lt;=129000000),25,IF(AND(K30&gt;129000000,K30&lt;=163000000),26,IF(AND(K30&gt;163000000,K30&lt;=211000000),27,IF(AND(K30&gt;211000000,K30&lt;=374000000),28,IF(AND(K30&gt;374000000,K30&lt;=459000000),29,IF(AND(K30&gt;459000000,K30&lt;=555000000),30,IF(AND(K30&gt;555000000,K30&lt;=704000000),31,IF(AND(K30&gt;704000000,K30&lt;=957000000),32,IF(AND(K30&gt;957000000,K30&lt;=1405000000),33,34)))))))))))))))))))))))))))))))))))))))</f>
        <v>0</v>
      </c>
      <c r="R30" s="10">
        <f>IF(K30&lt;=6600000,0,IF(AND(K30&gt;6600000,K30&lt;=6950000),0.25,IF(AND(K30&gt;6950000,K30&lt;=7350000),0.5,IF(AND(K30&gt;7350000,K30&lt;=7800000),0.75,IF(AND(K30&gt;7800000,K30&lt;=8850000),1,IF(AND(K30&gt;8850000,K30&lt;=9800000),1.25,IF(AND(K30&gt;9800000,K30&lt;=10950000),1.5,IF(AND(K30&gt;10950000,K30&lt;=11200000),1.75,IF(AND(K30&gt;11200000,K30&lt;=12050000),2,IF(AND(K30&gt;12050000,K30&lt;=12950000),3,IF(AND(K30&gt;12950000,K30&lt;=14150000),4,IF(AND(K30&gt;14150000,K30&lt;=15550000),5,IF(AND(K30&gt;15550000,K30&lt;=17050000),6,IF(AND(K30&gt;17050000,K30&lt;=19500000),7,IF(AND(K30&gt;19500000,K30&lt;=22700000),8,IF(AND(K30&gt;22700000,K30&lt;=26600000),9,IF(AND(K30&gt;26600000,K30&lt;=28100000),10,IF(AND(K30&gt;28100000,K30&lt;=30100000),11,IF(AND(K30&gt;30100000,K30&lt;=32600000),12,IF(AND(K30&gt;32600000,K30&lt;=35400000),13,IF(AND(K30&gt;35400000,K30&lt;=38900000),14,IF(AND(K30&gt;38900000,K30&lt;=43000000),15,IF(AND(K30&gt;43000000,K30&lt;=47400000),16,IF(AND(K30&gt;47400000,K30&lt;=51200000),17,IF(AND(K30&gt;51200000,K30&lt;=55800000),18,IF(AND(K30&gt;55800000,K30&lt;=60400000),19,IF(AND(K30&gt;60400000,K30&lt;=66700000),20,IF(AND(K30&gt;66700000,K30&lt;=74500000),21,IF(AND(K30&gt;74500000,K30&lt;=83200000),22,IF(AND(K30&gt;83200000,K30&lt;=95600000),23,IF(AND(K30&gt;95600000,K30&lt;=110000000),24,IF(AND(K30&gt;110000000,K30&lt;=134000000),25,IF(AND(K30&gt;134000000,K30&lt;=169000000),26,IF(AND(K30&gt;169000000,K30&lt;=221000000),27,IF(AND(K30&gt;221000000,K30&lt;=390000000),28,IF(AND(K30&gt;390000000,K30&lt;=463000000),29,IF(AND(K30&gt;463000000,K30&lt;=561000000),30,IF(AND(K30&gt;561000000,K30&lt;=709000000),31,IF(AND(K30&gt;709000000,K30&lt;=965000000),32,IF(AND(K30&gt;965000000,K30&lt;=1419000000),33,34))))))))))))))))))))))))))))))))))))))))</f>
        <v>0</v>
      </c>
      <c r="S30" s="10"/>
      <c r="T30" s="10"/>
    </row>
    <row r="31" spans="1:21">
      <c r="D31" s="1"/>
      <c r="E31" s="1"/>
      <c r="G31" s="1"/>
      <c r="H31" s="1"/>
      <c r="I31" s="1"/>
      <c r="J31" s="1"/>
      <c r="L31">
        <f>IF(OR(G31="TK/0",G31="TK/1",G31="K/0",G31="HB/0",G31="HB/1"),P31,IF(OR(G31="TK/2",G31="TK/3",G31="K/1",G31="K/2",G31="HB/2",G31="HB/3"),Q31,R31))</f>
        <v>0</v>
      </c>
      <c r="M31" s="1"/>
      <c r="N31" s="2"/>
      <c r="P31" s="10">
        <f>IF(K31&lt;=5400000,0,IF(AND(K31&gt;5400000,K31&lt;=5650000),0.25,IF(AND(K31&gt;5650000,K31&lt;=5950000),0.5,IF(AND(K31&gt;5950000,K31&lt;=6300000),0.75,IF(AND(K31&gt;6300000,K31&lt;=6750000),1,IF(AND(K31&gt;6750000,K31&lt;=7500000),1.25,IF(AND(K31&gt;7500000,K31&lt;=8550000),1.5,IF(AND(K31&gt;8550000,K31&lt;=9650000),1.75,IF(AND(K31&gt;9650000,K31&lt;=10050000),2,IF(AND(K31&gt;10050000,K31&lt;=10350000),2.25,IF(AND(K31&gt;10350000,K31&lt;=10700000),2.5,IF(AND(K31&gt;10700000,K31&lt;=11050000),3,IF(AND(K31&gt;11050000,K31&lt;=11600000),3.5,IF(AND(K31&gt;11600000,K31&lt;=12500000),4,IF(AND(K31&gt;12500000,K31&lt;=13750000),5,IF(AND(K31&gt;13750000,K31&lt;=15100000),6,IF(AND(K31&gt;15100000,K31&lt;=16950000),7,IF(AND(K31&gt;16950000,K31&lt;=19750000),8,IF(AND(K31&gt;19750000,K31&lt;=24150000),9,IF(AND(K31&gt;24150000,K31&lt;=26450000),10,IF(AND(K31&gt;26450000,K31&lt;=28000000),11,IF(AND(K31&gt;28000000,K31&lt;=30050000),12,IF(AND(K31&gt;30050000,K31&lt;=32400000),13,IF(AND(K31&gt;32400000,K31&lt;=35400000),14,IF(AND(K31&gt;35400000,K31&lt;=39100000),15,IF(AND(K31&gt;39100000,K31&lt;=43850000),16,IF(AND(K31&gt;43850000,K31&lt;=47800000),17,IF(AND(K31&gt;47800000,K31&lt;=51400000),18,IF(AND(K31&gt;51400000,K31&lt;=56300000),19,IF(AND(K31&gt;56300000,K31&lt;=62200000),20,IF(AND(K31&gt;62200000,K31&lt;=68600000),21,IF(AND(K31&gt;68600000,K31&lt;=77500000),22,IF(AND(K31&gt;77500000,K31&lt;=89000000),23,IF(AND(K31&gt;89000000,K31&lt;=103000000),24,IF(AND(K31&gt;103000000,K31&lt;=125000000),25,IF(AND(K31&gt;125000000,K31&lt;=157000000),26,IF(AND(K31&gt;157000000,K31&lt;=206000000),27,IF(AND(K31&gt;206000000,K31&lt;=337000000),28,IF(AND(K31&gt;337000000,K31&lt;=454000000),29,IF(AND(K31&gt;454000000,K31&lt;=550000000),30,IF(AND(K31&gt;550000000,K31&lt;=695000000),31,IF(AND(K31&gt;695000000,K31&lt;=910000000),32,IF(AND(K31&gt;910000000,K31&lt;=1400000000),33,34)))))))))))))))))))))))))))))))))))))))))))</f>
        <v>0</v>
      </c>
      <c r="Q31" s="10">
        <f>IF(K31&lt;=6200000,0,IF(AND(K31&gt;6200000,K31&lt;=6500000),0.25,IF(AND(K31&gt;6500000,K31&lt;=6850000),0.5,IF(AND(K31&gt;6850000,K31&lt;=7300000),0.75,IF(AND(K31&gt;7300000,K31&lt;=9200000),1,IF(AND(K31&gt;9200000,K31&lt;=10750000),1.5,IF(AND(K31&gt;10750000,K31&lt;=11250000),2,IF(AND(K31&gt;11250000,K31&lt;=11600000),2.5,IF(AND(K31&gt;11600000,K31&lt;=12600000),3,IF(AND(K31&gt;12600000,K31&lt;=13600000),4,IF(AND(K31&gt;13600000,K31&lt;=14950000),5,IF(AND(K31&gt;14950000,K31&lt;=16400000),6,IF(AND(K31&gt;16400000,K31&lt;=18450000),7,IF(AND(K31&gt;18450000,K31&lt;=21850000),8,IF(AND(K31&gt;21850000,K31&lt;=26000000),9,IF(AND(K31&gt;26000000,K31&lt;=27700000),10,IF(AND(K31&gt;27700000,K31&lt;=29350000),11,IF(AND(K31&gt;29350000,K31&lt;=31450000),12,IF(AND(K31&gt;31450000,K31&lt;=33950000),13,IF(AND(K31&gt;33950000,K31&lt;=37100000),14,IF(AND(K31&gt;37100000,K31&lt;=41100000),15,IF(AND(K31&gt;41100000,K31&lt;=45800000),16,IF(AND(K31&gt;45800000,K31&lt;=49500000),17,IF(AND(K31&gt;49500000,K31&lt;=53800000),18,IF(AND(K31&gt;53800000,K31&lt;=58500000),19,IF(AND(K31&gt;58500000,K31&lt;=64000000),20,IF(AND(K31&gt;64000000,K31&lt;=71000000),21,IF(AND(K31&gt;71000000,K31&lt;=80000000),22,IF(AND(K31&gt;80000000,K31&lt;=93000000),23,IF(AND(K31&gt;93000000,K31&lt;=109000000),24,IF(AND(K31&gt;109000000,K31&lt;=129000000),25,IF(AND(K31&gt;129000000,K31&lt;=163000000),26,IF(AND(K31&gt;163000000,K31&lt;=211000000),27,IF(AND(K31&gt;211000000,K31&lt;=374000000),28,IF(AND(K31&gt;374000000,K31&lt;=459000000),29,IF(AND(K31&gt;459000000,K31&lt;=555000000),30,IF(AND(K31&gt;555000000,K31&lt;=704000000),31,IF(AND(K31&gt;704000000,K31&lt;=957000000),32,IF(AND(K31&gt;957000000,K31&lt;=1405000000),33,34)))))))))))))))))))))))))))))))))))))))</f>
        <v>0</v>
      </c>
      <c r="R31" s="10">
        <f>IF(K31&lt;=6600000,0,IF(AND(K31&gt;6600000,K31&lt;=6950000),0.25,IF(AND(K31&gt;6950000,K31&lt;=7350000),0.5,IF(AND(K31&gt;7350000,K31&lt;=7800000),0.75,IF(AND(K31&gt;7800000,K31&lt;=8850000),1,IF(AND(K31&gt;8850000,K31&lt;=9800000),1.25,IF(AND(K31&gt;9800000,K31&lt;=10950000),1.5,IF(AND(K31&gt;10950000,K31&lt;=11200000),1.75,IF(AND(K31&gt;11200000,K31&lt;=12050000),2,IF(AND(K31&gt;12050000,K31&lt;=12950000),3,IF(AND(K31&gt;12950000,K31&lt;=14150000),4,IF(AND(K31&gt;14150000,K31&lt;=15550000),5,IF(AND(K31&gt;15550000,K31&lt;=17050000),6,IF(AND(K31&gt;17050000,K31&lt;=19500000),7,IF(AND(K31&gt;19500000,K31&lt;=22700000),8,IF(AND(K31&gt;22700000,K31&lt;=26600000),9,IF(AND(K31&gt;26600000,K31&lt;=28100000),10,IF(AND(K31&gt;28100000,K31&lt;=30100000),11,IF(AND(K31&gt;30100000,K31&lt;=32600000),12,IF(AND(K31&gt;32600000,K31&lt;=35400000),13,IF(AND(K31&gt;35400000,K31&lt;=38900000),14,IF(AND(K31&gt;38900000,K31&lt;=43000000),15,IF(AND(K31&gt;43000000,K31&lt;=47400000),16,IF(AND(K31&gt;47400000,K31&lt;=51200000),17,IF(AND(K31&gt;51200000,K31&lt;=55800000),18,IF(AND(K31&gt;55800000,K31&lt;=60400000),19,IF(AND(K31&gt;60400000,K31&lt;=66700000),20,IF(AND(K31&gt;66700000,K31&lt;=74500000),21,IF(AND(K31&gt;74500000,K31&lt;=83200000),22,IF(AND(K31&gt;83200000,K31&lt;=95600000),23,IF(AND(K31&gt;95600000,K31&lt;=110000000),24,IF(AND(K31&gt;110000000,K31&lt;=134000000),25,IF(AND(K31&gt;134000000,K31&lt;=169000000),26,IF(AND(K31&gt;169000000,K31&lt;=221000000),27,IF(AND(K31&gt;221000000,K31&lt;=390000000),28,IF(AND(K31&gt;390000000,K31&lt;=463000000),29,IF(AND(K31&gt;463000000,K31&lt;=561000000),30,IF(AND(K31&gt;561000000,K31&lt;=709000000),31,IF(AND(K31&gt;709000000,K31&lt;=965000000),32,IF(AND(K31&gt;965000000,K31&lt;=1419000000),33,34))))))))))))))))))))))))))))))))))))))))</f>
        <v>0</v>
      </c>
      <c r="S31" s="10"/>
      <c r="T31" s="10"/>
    </row>
    <row r="32" spans="1:21">
      <c r="D32" s="1"/>
      <c r="E32" s="1"/>
      <c r="G32" s="1"/>
      <c r="H32" s="1"/>
      <c r="I32" s="1"/>
      <c r="J32" s="1"/>
      <c r="L32">
        <f>IF(OR(G32="TK/0",G32="TK/1",G32="K/0",G32="HB/0",G32="HB/1"),P32,IF(OR(G32="TK/2",G32="TK/3",G32="K/1",G32="K/2",G32="HB/2",G32="HB/3"),Q32,R32))</f>
        <v>0</v>
      </c>
      <c r="M32" s="1"/>
      <c r="N32" s="2"/>
      <c r="P32" s="10">
        <f>IF(K32&lt;=5400000,0,IF(AND(K32&gt;5400000,K32&lt;=5650000),0.25,IF(AND(K32&gt;5650000,K32&lt;=5950000),0.5,IF(AND(K32&gt;5950000,K32&lt;=6300000),0.75,IF(AND(K32&gt;6300000,K32&lt;=6750000),1,IF(AND(K32&gt;6750000,K32&lt;=7500000),1.25,IF(AND(K32&gt;7500000,K32&lt;=8550000),1.5,IF(AND(K32&gt;8550000,K32&lt;=9650000),1.75,IF(AND(K32&gt;9650000,K32&lt;=10050000),2,IF(AND(K32&gt;10050000,K32&lt;=10350000),2.25,IF(AND(K32&gt;10350000,K32&lt;=10700000),2.5,IF(AND(K32&gt;10700000,K32&lt;=11050000),3,IF(AND(K32&gt;11050000,K32&lt;=11600000),3.5,IF(AND(K32&gt;11600000,K32&lt;=12500000),4,IF(AND(K32&gt;12500000,K32&lt;=13750000),5,IF(AND(K32&gt;13750000,K32&lt;=15100000),6,IF(AND(K32&gt;15100000,K32&lt;=16950000),7,IF(AND(K32&gt;16950000,K32&lt;=19750000),8,IF(AND(K32&gt;19750000,K32&lt;=24150000),9,IF(AND(K32&gt;24150000,K32&lt;=26450000),10,IF(AND(K32&gt;26450000,K32&lt;=28000000),11,IF(AND(K32&gt;28000000,K32&lt;=30050000),12,IF(AND(K32&gt;30050000,K32&lt;=32400000),13,IF(AND(K32&gt;32400000,K32&lt;=35400000),14,IF(AND(K32&gt;35400000,K32&lt;=39100000),15,IF(AND(K32&gt;39100000,K32&lt;=43850000),16,IF(AND(K32&gt;43850000,K32&lt;=47800000),17,IF(AND(K32&gt;47800000,K32&lt;=51400000),18,IF(AND(K32&gt;51400000,K32&lt;=56300000),19,IF(AND(K32&gt;56300000,K32&lt;=62200000),20,IF(AND(K32&gt;62200000,K32&lt;=68600000),21,IF(AND(K32&gt;68600000,K32&lt;=77500000),22,IF(AND(K32&gt;77500000,K32&lt;=89000000),23,IF(AND(K32&gt;89000000,K32&lt;=103000000),24,IF(AND(K32&gt;103000000,K32&lt;=125000000),25,IF(AND(K32&gt;125000000,K32&lt;=157000000),26,IF(AND(K32&gt;157000000,K32&lt;=206000000),27,IF(AND(K32&gt;206000000,K32&lt;=337000000),28,IF(AND(K32&gt;337000000,K32&lt;=454000000),29,IF(AND(K32&gt;454000000,K32&lt;=550000000),30,IF(AND(K32&gt;550000000,K32&lt;=695000000),31,IF(AND(K32&gt;695000000,K32&lt;=910000000),32,IF(AND(K32&gt;910000000,K32&lt;=1400000000),33,34)))))))))))))))))))))))))))))))))))))))))))</f>
        <v>0</v>
      </c>
      <c r="Q32" s="10">
        <f>IF(K32&lt;=6200000,0,IF(AND(K32&gt;6200000,K32&lt;=6500000),0.25,IF(AND(K32&gt;6500000,K32&lt;=6850000),0.5,IF(AND(K32&gt;6850000,K32&lt;=7300000),0.75,IF(AND(K32&gt;7300000,K32&lt;=9200000),1,IF(AND(K32&gt;9200000,K32&lt;=10750000),1.5,IF(AND(K32&gt;10750000,K32&lt;=11250000),2,IF(AND(K32&gt;11250000,K32&lt;=11600000),2.5,IF(AND(K32&gt;11600000,K32&lt;=12600000),3,IF(AND(K32&gt;12600000,K32&lt;=13600000),4,IF(AND(K32&gt;13600000,K32&lt;=14950000),5,IF(AND(K32&gt;14950000,K32&lt;=16400000),6,IF(AND(K32&gt;16400000,K32&lt;=18450000),7,IF(AND(K32&gt;18450000,K32&lt;=21850000),8,IF(AND(K32&gt;21850000,K32&lt;=26000000),9,IF(AND(K32&gt;26000000,K32&lt;=27700000),10,IF(AND(K32&gt;27700000,K32&lt;=29350000),11,IF(AND(K32&gt;29350000,K32&lt;=31450000),12,IF(AND(K32&gt;31450000,K32&lt;=33950000),13,IF(AND(K32&gt;33950000,K32&lt;=37100000),14,IF(AND(K32&gt;37100000,K32&lt;=41100000),15,IF(AND(K32&gt;41100000,K32&lt;=45800000),16,IF(AND(K32&gt;45800000,K32&lt;=49500000),17,IF(AND(K32&gt;49500000,K32&lt;=53800000),18,IF(AND(K32&gt;53800000,K32&lt;=58500000),19,IF(AND(K32&gt;58500000,K32&lt;=64000000),20,IF(AND(K32&gt;64000000,K32&lt;=71000000),21,IF(AND(K32&gt;71000000,K32&lt;=80000000),22,IF(AND(K32&gt;80000000,K32&lt;=93000000),23,IF(AND(K32&gt;93000000,K32&lt;=109000000),24,IF(AND(K32&gt;109000000,K32&lt;=129000000),25,IF(AND(K32&gt;129000000,K32&lt;=163000000),26,IF(AND(K32&gt;163000000,K32&lt;=211000000),27,IF(AND(K32&gt;211000000,K32&lt;=374000000),28,IF(AND(K32&gt;374000000,K32&lt;=459000000),29,IF(AND(K32&gt;459000000,K32&lt;=555000000),30,IF(AND(K32&gt;555000000,K32&lt;=704000000),31,IF(AND(K32&gt;704000000,K32&lt;=957000000),32,IF(AND(K32&gt;957000000,K32&lt;=1405000000),33,34)))))))))))))))))))))))))))))))))))))))</f>
        <v>0</v>
      </c>
      <c r="R32" s="10">
        <f>IF(K32&lt;=6600000,0,IF(AND(K32&gt;6600000,K32&lt;=6950000),0.25,IF(AND(K32&gt;6950000,K32&lt;=7350000),0.5,IF(AND(K32&gt;7350000,K32&lt;=7800000),0.75,IF(AND(K32&gt;7800000,K32&lt;=8850000),1,IF(AND(K32&gt;8850000,K32&lt;=9800000),1.25,IF(AND(K32&gt;9800000,K32&lt;=10950000),1.5,IF(AND(K32&gt;10950000,K32&lt;=11200000),1.75,IF(AND(K32&gt;11200000,K32&lt;=12050000),2,IF(AND(K32&gt;12050000,K32&lt;=12950000),3,IF(AND(K32&gt;12950000,K32&lt;=14150000),4,IF(AND(K32&gt;14150000,K32&lt;=15550000),5,IF(AND(K32&gt;15550000,K32&lt;=17050000),6,IF(AND(K32&gt;17050000,K32&lt;=19500000),7,IF(AND(K32&gt;19500000,K32&lt;=22700000),8,IF(AND(K32&gt;22700000,K32&lt;=26600000),9,IF(AND(K32&gt;26600000,K32&lt;=28100000),10,IF(AND(K32&gt;28100000,K32&lt;=30100000),11,IF(AND(K32&gt;30100000,K32&lt;=32600000),12,IF(AND(K32&gt;32600000,K32&lt;=35400000),13,IF(AND(K32&gt;35400000,K32&lt;=38900000),14,IF(AND(K32&gt;38900000,K32&lt;=43000000),15,IF(AND(K32&gt;43000000,K32&lt;=47400000),16,IF(AND(K32&gt;47400000,K32&lt;=51200000),17,IF(AND(K32&gt;51200000,K32&lt;=55800000),18,IF(AND(K32&gt;55800000,K32&lt;=60400000),19,IF(AND(K32&gt;60400000,K32&lt;=66700000),20,IF(AND(K32&gt;66700000,K32&lt;=74500000),21,IF(AND(K32&gt;74500000,K32&lt;=83200000),22,IF(AND(K32&gt;83200000,K32&lt;=95600000),23,IF(AND(K32&gt;95600000,K32&lt;=110000000),24,IF(AND(K32&gt;110000000,K32&lt;=134000000),25,IF(AND(K32&gt;134000000,K32&lt;=169000000),26,IF(AND(K32&gt;169000000,K32&lt;=221000000),27,IF(AND(K32&gt;221000000,K32&lt;=390000000),28,IF(AND(K32&gt;390000000,K32&lt;=463000000),29,IF(AND(K32&gt;463000000,K32&lt;=561000000),30,IF(AND(K32&gt;561000000,K32&lt;=709000000),31,IF(AND(K32&gt;709000000,K32&lt;=965000000),32,IF(AND(K32&gt;965000000,K32&lt;=1419000000),33,34))))))))))))))))))))))))))))))))))))))))</f>
        <v>0</v>
      </c>
      <c r="S32" s="10"/>
      <c r="T32" s="10"/>
    </row>
    <row r="33" spans="1:21">
      <c r="D33" s="1"/>
      <c r="E33" s="1"/>
      <c r="G33" s="1"/>
      <c r="H33" s="1"/>
      <c r="I33" s="1"/>
      <c r="J33" s="1"/>
      <c r="L33">
        <f>IF(OR(G33="TK/0",G33="TK/1",G33="K/0",G33="HB/0",G33="HB/1"),P33,IF(OR(G33="TK/2",G33="TK/3",G33="K/1",G33="K/2",G33="HB/2",G33="HB/3"),Q33,R33))</f>
        <v>0</v>
      </c>
      <c r="M33" s="1"/>
      <c r="N33" s="2"/>
      <c r="P33" s="10">
        <f>IF(K33&lt;=5400000,0,IF(AND(K33&gt;5400000,K33&lt;=5650000),0.25,IF(AND(K33&gt;5650000,K33&lt;=5950000),0.5,IF(AND(K33&gt;5950000,K33&lt;=6300000),0.75,IF(AND(K33&gt;6300000,K33&lt;=6750000),1,IF(AND(K33&gt;6750000,K33&lt;=7500000),1.25,IF(AND(K33&gt;7500000,K33&lt;=8550000),1.5,IF(AND(K33&gt;8550000,K33&lt;=9650000),1.75,IF(AND(K33&gt;9650000,K33&lt;=10050000),2,IF(AND(K33&gt;10050000,K33&lt;=10350000),2.25,IF(AND(K33&gt;10350000,K33&lt;=10700000),2.5,IF(AND(K33&gt;10700000,K33&lt;=11050000),3,IF(AND(K33&gt;11050000,K33&lt;=11600000),3.5,IF(AND(K33&gt;11600000,K33&lt;=12500000),4,IF(AND(K33&gt;12500000,K33&lt;=13750000),5,IF(AND(K33&gt;13750000,K33&lt;=15100000),6,IF(AND(K33&gt;15100000,K33&lt;=16950000),7,IF(AND(K33&gt;16950000,K33&lt;=19750000),8,IF(AND(K33&gt;19750000,K33&lt;=24150000),9,IF(AND(K33&gt;24150000,K33&lt;=26450000),10,IF(AND(K33&gt;26450000,K33&lt;=28000000),11,IF(AND(K33&gt;28000000,K33&lt;=30050000),12,IF(AND(K33&gt;30050000,K33&lt;=32400000),13,IF(AND(K33&gt;32400000,K33&lt;=35400000),14,IF(AND(K33&gt;35400000,K33&lt;=39100000),15,IF(AND(K33&gt;39100000,K33&lt;=43850000),16,IF(AND(K33&gt;43850000,K33&lt;=47800000),17,IF(AND(K33&gt;47800000,K33&lt;=51400000),18,IF(AND(K33&gt;51400000,K33&lt;=56300000),19,IF(AND(K33&gt;56300000,K33&lt;=62200000),20,IF(AND(K33&gt;62200000,K33&lt;=68600000),21,IF(AND(K33&gt;68600000,K33&lt;=77500000),22,IF(AND(K33&gt;77500000,K33&lt;=89000000),23,IF(AND(K33&gt;89000000,K33&lt;=103000000),24,IF(AND(K33&gt;103000000,K33&lt;=125000000),25,IF(AND(K33&gt;125000000,K33&lt;=157000000),26,IF(AND(K33&gt;157000000,K33&lt;=206000000),27,IF(AND(K33&gt;206000000,K33&lt;=337000000),28,IF(AND(K33&gt;337000000,K33&lt;=454000000),29,IF(AND(K33&gt;454000000,K33&lt;=550000000),30,IF(AND(K33&gt;550000000,K33&lt;=695000000),31,IF(AND(K33&gt;695000000,K33&lt;=910000000),32,IF(AND(K33&gt;910000000,K33&lt;=1400000000),33,34)))))))))))))))))))))))))))))))))))))))))))</f>
        <v>0</v>
      </c>
      <c r="Q33" s="10">
        <f>IF(K33&lt;=6200000,0,IF(AND(K33&gt;6200000,K33&lt;=6500000),0.25,IF(AND(K33&gt;6500000,K33&lt;=6850000),0.5,IF(AND(K33&gt;6850000,K33&lt;=7300000),0.75,IF(AND(K33&gt;7300000,K33&lt;=9200000),1,IF(AND(K33&gt;9200000,K33&lt;=10750000),1.5,IF(AND(K33&gt;10750000,K33&lt;=11250000),2,IF(AND(K33&gt;11250000,K33&lt;=11600000),2.5,IF(AND(K33&gt;11600000,K33&lt;=12600000),3,IF(AND(K33&gt;12600000,K33&lt;=13600000),4,IF(AND(K33&gt;13600000,K33&lt;=14950000),5,IF(AND(K33&gt;14950000,K33&lt;=16400000),6,IF(AND(K33&gt;16400000,K33&lt;=18450000),7,IF(AND(K33&gt;18450000,K33&lt;=21850000),8,IF(AND(K33&gt;21850000,K33&lt;=26000000),9,IF(AND(K33&gt;26000000,K33&lt;=27700000),10,IF(AND(K33&gt;27700000,K33&lt;=29350000),11,IF(AND(K33&gt;29350000,K33&lt;=31450000),12,IF(AND(K33&gt;31450000,K33&lt;=33950000),13,IF(AND(K33&gt;33950000,K33&lt;=37100000),14,IF(AND(K33&gt;37100000,K33&lt;=41100000),15,IF(AND(K33&gt;41100000,K33&lt;=45800000),16,IF(AND(K33&gt;45800000,K33&lt;=49500000),17,IF(AND(K33&gt;49500000,K33&lt;=53800000),18,IF(AND(K33&gt;53800000,K33&lt;=58500000),19,IF(AND(K33&gt;58500000,K33&lt;=64000000),20,IF(AND(K33&gt;64000000,K33&lt;=71000000),21,IF(AND(K33&gt;71000000,K33&lt;=80000000),22,IF(AND(K33&gt;80000000,K33&lt;=93000000),23,IF(AND(K33&gt;93000000,K33&lt;=109000000),24,IF(AND(K33&gt;109000000,K33&lt;=129000000),25,IF(AND(K33&gt;129000000,K33&lt;=163000000),26,IF(AND(K33&gt;163000000,K33&lt;=211000000),27,IF(AND(K33&gt;211000000,K33&lt;=374000000),28,IF(AND(K33&gt;374000000,K33&lt;=459000000),29,IF(AND(K33&gt;459000000,K33&lt;=555000000),30,IF(AND(K33&gt;555000000,K33&lt;=704000000),31,IF(AND(K33&gt;704000000,K33&lt;=957000000),32,IF(AND(K33&gt;957000000,K33&lt;=1405000000),33,34)))))))))))))))))))))))))))))))))))))))</f>
        <v>0</v>
      </c>
      <c r="R33" s="10">
        <f>IF(K33&lt;=6600000,0,IF(AND(K33&gt;6600000,K33&lt;=6950000),0.25,IF(AND(K33&gt;6950000,K33&lt;=7350000),0.5,IF(AND(K33&gt;7350000,K33&lt;=7800000),0.75,IF(AND(K33&gt;7800000,K33&lt;=8850000),1,IF(AND(K33&gt;8850000,K33&lt;=9800000),1.25,IF(AND(K33&gt;9800000,K33&lt;=10950000),1.5,IF(AND(K33&gt;10950000,K33&lt;=11200000),1.75,IF(AND(K33&gt;11200000,K33&lt;=12050000),2,IF(AND(K33&gt;12050000,K33&lt;=12950000),3,IF(AND(K33&gt;12950000,K33&lt;=14150000),4,IF(AND(K33&gt;14150000,K33&lt;=15550000),5,IF(AND(K33&gt;15550000,K33&lt;=17050000),6,IF(AND(K33&gt;17050000,K33&lt;=19500000),7,IF(AND(K33&gt;19500000,K33&lt;=22700000),8,IF(AND(K33&gt;22700000,K33&lt;=26600000),9,IF(AND(K33&gt;26600000,K33&lt;=28100000),10,IF(AND(K33&gt;28100000,K33&lt;=30100000),11,IF(AND(K33&gt;30100000,K33&lt;=32600000),12,IF(AND(K33&gt;32600000,K33&lt;=35400000),13,IF(AND(K33&gt;35400000,K33&lt;=38900000),14,IF(AND(K33&gt;38900000,K33&lt;=43000000),15,IF(AND(K33&gt;43000000,K33&lt;=47400000),16,IF(AND(K33&gt;47400000,K33&lt;=51200000),17,IF(AND(K33&gt;51200000,K33&lt;=55800000),18,IF(AND(K33&gt;55800000,K33&lt;=60400000),19,IF(AND(K33&gt;60400000,K33&lt;=66700000),20,IF(AND(K33&gt;66700000,K33&lt;=74500000),21,IF(AND(K33&gt;74500000,K33&lt;=83200000),22,IF(AND(K33&gt;83200000,K33&lt;=95600000),23,IF(AND(K33&gt;95600000,K33&lt;=110000000),24,IF(AND(K33&gt;110000000,K33&lt;=134000000),25,IF(AND(K33&gt;134000000,K33&lt;=169000000),26,IF(AND(K33&gt;169000000,K33&lt;=221000000),27,IF(AND(K33&gt;221000000,K33&lt;=390000000),28,IF(AND(K33&gt;390000000,K33&lt;=463000000),29,IF(AND(K33&gt;463000000,K33&lt;=561000000),30,IF(AND(K33&gt;561000000,K33&lt;=709000000),31,IF(AND(K33&gt;709000000,K33&lt;=965000000),32,IF(AND(K33&gt;965000000,K33&lt;=1419000000),33,34))))))))))))))))))))))))))))))))))))))))</f>
        <v>0</v>
      </c>
      <c r="S33" s="10"/>
      <c r="T33" s="10"/>
    </row>
    <row r="34" spans="1:21">
      <c r="D34" s="1"/>
      <c r="E34" s="1"/>
      <c r="G34" s="1"/>
      <c r="H34" s="1"/>
      <c r="I34" s="1"/>
      <c r="J34" s="1"/>
      <c r="L34">
        <f>IF(OR(G34="TK/0",G34="TK/1",G34="K/0",G34="HB/0",G34="HB/1"),P34,IF(OR(G34="TK/2",G34="TK/3",G34="K/1",G34="K/2",G34="HB/2",G34="HB/3"),Q34,R34))</f>
        <v>0</v>
      </c>
      <c r="M34" s="1"/>
      <c r="N34" s="2"/>
      <c r="P34" s="10">
        <f>IF(K34&lt;=5400000,0,IF(AND(K34&gt;5400000,K34&lt;=5650000),0.25,IF(AND(K34&gt;5650000,K34&lt;=5950000),0.5,IF(AND(K34&gt;5950000,K34&lt;=6300000),0.75,IF(AND(K34&gt;6300000,K34&lt;=6750000),1,IF(AND(K34&gt;6750000,K34&lt;=7500000),1.25,IF(AND(K34&gt;7500000,K34&lt;=8550000),1.5,IF(AND(K34&gt;8550000,K34&lt;=9650000),1.75,IF(AND(K34&gt;9650000,K34&lt;=10050000),2,IF(AND(K34&gt;10050000,K34&lt;=10350000),2.25,IF(AND(K34&gt;10350000,K34&lt;=10700000),2.5,IF(AND(K34&gt;10700000,K34&lt;=11050000),3,IF(AND(K34&gt;11050000,K34&lt;=11600000),3.5,IF(AND(K34&gt;11600000,K34&lt;=12500000),4,IF(AND(K34&gt;12500000,K34&lt;=13750000),5,IF(AND(K34&gt;13750000,K34&lt;=15100000),6,IF(AND(K34&gt;15100000,K34&lt;=16950000),7,IF(AND(K34&gt;16950000,K34&lt;=19750000),8,IF(AND(K34&gt;19750000,K34&lt;=24150000),9,IF(AND(K34&gt;24150000,K34&lt;=26450000),10,IF(AND(K34&gt;26450000,K34&lt;=28000000),11,IF(AND(K34&gt;28000000,K34&lt;=30050000),12,IF(AND(K34&gt;30050000,K34&lt;=32400000),13,IF(AND(K34&gt;32400000,K34&lt;=35400000),14,IF(AND(K34&gt;35400000,K34&lt;=39100000),15,IF(AND(K34&gt;39100000,K34&lt;=43850000),16,IF(AND(K34&gt;43850000,K34&lt;=47800000),17,IF(AND(K34&gt;47800000,K34&lt;=51400000),18,IF(AND(K34&gt;51400000,K34&lt;=56300000),19,IF(AND(K34&gt;56300000,K34&lt;=62200000),20,IF(AND(K34&gt;62200000,K34&lt;=68600000),21,IF(AND(K34&gt;68600000,K34&lt;=77500000),22,IF(AND(K34&gt;77500000,K34&lt;=89000000),23,IF(AND(K34&gt;89000000,K34&lt;=103000000),24,IF(AND(K34&gt;103000000,K34&lt;=125000000),25,IF(AND(K34&gt;125000000,K34&lt;=157000000),26,IF(AND(K34&gt;157000000,K34&lt;=206000000),27,IF(AND(K34&gt;206000000,K34&lt;=337000000),28,IF(AND(K34&gt;337000000,K34&lt;=454000000),29,IF(AND(K34&gt;454000000,K34&lt;=550000000),30,IF(AND(K34&gt;550000000,K34&lt;=695000000),31,IF(AND(K34&gt;695000000,K34&lt;=910000000),32,IF(AND(K34&gt;910000000,K34&lt;=1400000000),33,34)))))))))))))))))))))))))))))))))))))))))))</f>
        <v>0</v>
      </c>
      <c r="Q34" s="10">
        <f>IF(K34&lt;=6200000,0,IF(AND(K34&gt;6200000,K34&lt;=6500000),0.25,IF(AND(K34&gt;6500000,K34&lt;=6850000),0.5,IF(AND(K34&gt;6850000,K34&lt;=7300000),0.75,IF(AND(K34&gt;7300000,K34&lt;=9200000),1,IF(AND(K34&gt;9200000,K34&lt;=10750000),1.5,IF(AND(K34&gt;10750000,K34&lt;=11250000),2,IF(AND(K34&gt;11250000,K34&lt;=11600000),2.5,IF(AND(K34&gt;11600000,K34&lt;=12600000),3,IF(AND(K34&gt;12600000,K34&lt;=13600000),4,IF(AND(K34&gt;13600000,K34&lt;=14950000),5,IF(AND(K34&gt;14950000,K34&lt;=16400000),6,IF(AND(K34&gt;16400000,K34&lt;=18450000),7,IF(AND(K34&gt;18450000,K34&lt;=21850000),8,IF(AND(K34&gt;21850000,K34&lt;=26000000),9,IF(AND(K34&gt;26000000,K34&lt;=27700000),10,IF(AND(K34&gt;27700000,K34&lt;=29350000),11,IF(AND(K34&gt;29350000,K34&lt;=31450000),12,IF(AND(K34&gt;31450000,K34&lt;=33950000),13,IF(AND(K34&gt;33950000,K34&lt;=37100000),14,IF(AND(K34&gt;37100000,K34&lt;=41100000),15,IF(AND(K34&gt;41100000,K34&lt;=45800000),16,IF(AND(K34&gt;45800000,K34&lt;=49500000),17,IF(AND(K34&gt;49500000,K34&lt;=53800000),18,IF(AND(K34&gt;53800000,K34&lt;=58500000),19,IF(AND(K34&gt;58500000,K34&lt;=64000000),20,IF(AND(K34&gt;64000000,K34&lt;=71000000),21,IF(AND(K34&gt;71000000,K34&lt;=80000000),22,IF(AND(K34&gt;80000000,K34&lt;=93000000),23,IF(AND(K34&gt;93000000,K34&lt;=109000000),24,IF(AND(K34&gt;109000000,K34&lt;=129000000),25,IF(AND(K34&gt;129000000,K34&lt;=163000000),26,IF(AND(K34&gt;163000000,K34&lt;=211000000),27,IF(AND(K34&gt;211000000,K34&lt;=374000000),28,IF(AND(K34&gt;374000000,K34&lt;=459000000),29,IF(AND(K34&gt;459000000,K34&lt;=555000000),30,IF(AND(K34&gt;555000000,K34&lt;=704000000),31,IF(AND(K34&gt;704000000,K34&lt;=957000000),32,IF(AND(K34&gt;957000000,K34&lt;=1405000000),33,34)))))))))))))))))))))))))))))))))))))))</f>
        <v>0</v>
      </c>
      <c r="R34" s="10">
        <f>IF(K34&lt;=6600000,0,IF(AND(K34&gt;6600000,K34&lt;=6950000),0.25,IF(AND(K34&gt;6950000,K34&lt;=7350000),0.5,IF(AND(K34&gt;7350000,K34&lt;=7800000),0.75,IF(AND(K34&gt;7800000,K34&lt;=8850000),1,IF(AND(K34&gt;8850000,K34&lt;=9800000),1.25,IF(AND(K34&gt;9800000,K34&lt;=10950000),1.5,IF(AND(K34&gt;10950000,K34&lt;=11200000),1.75,IF(AND(K34&gt;11200000,K34&lt;=12050000),2,IF(AND(K34&gt;12050000,K34&lt;=12950000),3,IF(AND(K34&gt;12950000,K34&lt;=14150000),4,IF(AND(K34&gt;14150000,K34&lt;=15550000),5,IF(AND(K34&gt;15550000,K34&lt;=17050000),6,IF(AND(K34&gt;17050000,K34&lt;=19500000),7,IF(AND(K34&gt;19500000,K34&lt;=22700000),8,IF(AND(K34&gt;22700000,K34&lt;=26600000),9,IF(AND(K34&gt;26600000,K34&lt;=28100000),10,IF(AND(K34&gt;28100000,K34&lt;=30100000),11,IF(AND(K34&gt;30100000,K34&lt;=32600000),12,IF(AND(K34&gt;32600000,K34&lt;=35400000),13,IF(AND(K34&gt;35400000,K34&lt;=38900000),14,IF(AND(K34&gt;38900000,K34&lt;=43000000),15,IF(AND(K34&gt;43000000,K34&lt;=47400000),16,IF(AND(K34&gt;47400000,K34&lt;=51200000),17,IF(AND(K34&gt;51200000,K34&lt;=55800000),18,IF(AND(K34&gt;55800000,K34&lt;=60400000),19,IF(AND(K34&gt;60400000,K34&lt;=66700000),20,IF(AND(K34&gt;66700000,K34&lt;=74500000),21,IF(AND(K34&gt;74500000,K34&lt;=83200000),22,IF(AND(K34&gt;83200000,K34&lt;=95600000),23,IF(AND(K34&gt;95600000,K34&lt;=110000000),24,IF(AND(K34&gt;110000000,K34&lt;=134000000),25,IF(AND(K34&gt;134000000,K34&lt;=169000000),26,IF(AND(K34&gt;169000000,K34&lt;=221000000),27,IF(AND(K34&gt;221000000,K34&lt;=390000000),28,IF(AND(K34&gt;390000000,K34&lt;=463000000),29,IF(AND(K34&gt;463000000,K34&lt;=561000000),30,IF(AND(K34&gt;561000000,K34&lt;=709000000),31,IF(AND(K34&gt;709000000,K34&lt;=965000000),32,IF(AND(K34&gt;965000000,K34&lt;=1419000000),33,34))))))))))))))))))))))))))))))))))))))))</f>
        <v>0</v>
      </c>
      <c r="S34" s="10"/>
      <c r="T34" s="10"/>
    </row>
    <row r="35" spans="1:21">
      <c r="D35" s="1"/>
      <c r="E35" s="1"/>
      <c r="G35" s="1"/>
      <c r="H35" s="1"/>
      <c r="I35" s="1"/>
      <c r="J35" s="1"/>
      <c r="L35">
        <f>IF(OR(G35="TK/0",G35="TK/1",G35="K/0",G35="HB/0",G35="HB/1"),P35,IF(OR(G35="TK/2",G35="TK/3",G35="K/1",G35="K/2",G35="HB/2",G35="HB/3"),Q35,R35))</f>
        <v>0</v>
      </c>
      <c r="M35" s="1"/>
      <c r="N35" s="2"/>
      <c r="P35" s="10">
        <f>IF(K35&lt;=5400000,0,IF(AND(K35&gt;5400000,K35&lt;=5650000),0.25,IF(AND(K35&gt;5650000,K35&lt;=5950000),0.5,IF(AND(K35&gt;5950000,K35&lt;=6300000),0.75,IF(AND(K35&gt;6300000,K35&lt;=6750000),1,IF(AND(K35&gt;6750000,K35&lt;=7500000),1.25,IF(AND(K35&gt;7500000,K35&lt;=8550000),1.5,IF(AND(K35&gt;8550000,K35&lt;=9650000),1.75,IF(AND(K35&gt;9650000,K35&lt;=10050000),2,IF(AND(K35&gt;10050000,K35&lt;=10350000),2.25,IF(AND(K35&gt;10350000,K35&lt;=10700000),2.5,IF(AND(K35&gt;10700000,K35&lt;=11050000),3,IF(AND(K35&gt;11050000,K35&lt;=11600000),3.5,IF(AND(K35&gt;11600000,K35&lt;=12500000),4,IF(AND(K35&gt;12500000,K35&lt;=13750000),5,IF(AND(K35&gt;13750000,K35&lt;=15100000),6,IF(AND(K35&gt;15100000,K35&lt;=16950000),7,IF(AND(K35&gt;16950000,K35&lt;=19750000),8,IF(AND(K35&gt;19750000,K35&lt;=24150000),9,IF(AND(K35&gt;24150000,K35&lt;=26450000),10,IF(AND(K35&gt;26450000,K35&lt;=28000000),11,IF(AND(K35&gt;28000000,K35&lt;=30050000),12,IF(AND(K35&gt;30050000,K35&lt;=32400000),13,IF(AND(K35&gt;32400000,K35&lt;=35400000),14,IF(AND(K35&gt;35400000,K35&lt;=39100000),15,IF(AND(K35&gt;39100000,K35&lt;=43850000),16,IF(AND(K35&gt;43850000,K35&lt;=47800000),17,IF(AND(K35&gt;47800000,K35&lt;=51400000),18,IF(AND(K35&gt;51400000,K35&lt;=56300000),19,IF(AND(K35&gt;56300000,K35&lt;=62200000),20,IF(AND(K35&gt;62200000,K35&lt;=68600000),21,IF(AND(K35&gt;68600000,K35&lt;=77500000),22,IF(AND(K35&gt;77500000,K35&lt;=89000000),23,IF(AND(K35&gt;89000000,K35&lt;=103000000),24,IF(AND(K35&gt;103000000,K35&lt;=125000000),25,IF(AND(K35&gt;125000000,K35&lt;=157000000),26,IF(AND(K35&gt;157000000,K35&lt;=206000000),27,IF(AND(K35&gt;206000000,K35&lt;=337000000),28,IF(AND(K35&gt;337000000,K35&lt;=454000000),29,IF(AND(K35&gt;454000000,K35&lt;=550000000),30,IF(AND(K35&gt;550000000,K35&lt;=695000000),31,IF(AND(K35&gt;695000000,K35&lt;=910000000),32,IF(AND(K35&gt;910000000,K35&lt;=1400000000),33,34)))))))))))))))))))))))))))))))))))))))))))</f>
        <v>0</v>
      </c>
      <c r="Q35" s="10">
        <f>IF(K35&lt;=6200000,0,IF(AND(K35&gt;6200000,K35&lt;=6500000),0.25,IF(AND(K35&gt;6500000,K35&lt;=6850000),0.5,IF(AND(K35&gt;6850000,K35&lt;=7300000),0.75,IF(AND(K35&gt;7300000,K35&lt;=9200000),1,IF(AND(K35&gt;9200000,K35&lt;=10750000),1.5,IF(AND(K35&gt;10750000,K35&lt;=11250000),2,IF(AND(K35&gt;11250000,K35&lt;=11600000),2.5,IF(AND(K35&gt;11600000,K35&lt;=12600000),3,IF(AND(K35&gt;12600000,K35&lt;=13600000),4,IF(AND(K35&gt;13600000,K35&lt;=14950000),5,IF(AND(K35&gt;14950000,K35&lt;=16400000),6,IF(AND(K35&gt;16400000,K35&lt;=18450000),7,IF(AND(K35&gt;18450000,K35&lt;=21850000),8,IF(AND(K35&gt;21850000,K35&lt;=26000000),9,IF(AND(K35&gt;26000000,K35&lt;=27700000),10,IF(AND(K35&gt;27700000,K35&lt;=29350000),11,IF(AND(K35&gt;29350000,K35&lt;=31450000),12,IF(AND(K35&gt;31450000,K35&lt;=33950000),13,IF(AND(K35&gt;33950000,K35&lt;=37100000),14,IF(AND(K35&gt;37100000,K35&lt;=41100000),15,IF(AND(K35&gt;41100000,K35&lt;=45800000),16,IF(AND(K35&gt;45800000,K35&lt;=49500000),17,IF(AND(K35&gt;49500000,K35&lt;=53800000),18,IF(AND(K35&gt;53800000,K35&lt;=58500000),19,IF(AND(K35&gt;58500000,K35&lt;=64000000),20,IF(AND(K35&gt;64000000,K35&lt;=71000000),21,IF(AND(K35&gt;71000000,K35&lt;=80000000),22,IF(AND(K35&gt;80000000,K35&lt;=93000000),23,IF(AND(K35&gt;93000000,K35&lt;=109000000),24,IF(AND(K35&gt;109000000,K35&lt;=129000000),25,IF(AND(K35&gt;129000000,K35&lt;=163000000),26,IF(AND(K35&gt;163000000,K35&lt;=211000000),27,IF(AND(K35&gt;211000000,K35&lt;=374000000),28,IF(AND(K35&gt;374000000,K35&lt;=459000000),29,IF(AND(K35&gt;459000000,K35&lt;=555000000),30,IF(AND(K35&gt;555000000,K35&lt;=704000000),31,IF(AND(K35&gt;704000000,K35&lt;=957000000),32,IF(AND(K35&gt;957000000,K35&lt;=1405000000),33,34)))))))))))))))))))))))))))))))))))))))</f>
        <v>0</v>
      </c>
      <c r="R35" s="10">
        <f>IF(K35&lt;=6600000,0,IF(AND(K35&gt;6600000,K35&lt;=6950000),0.25,IF(AND(K35&gt;6950000,K35&lt;=7350000),0.5,IF(AND(K35&gt;7350000,K35&lt;=7800000),0.75,IF(AND(K35&gt;7800000,K35&lt;=8850000),1,IF(AND(K35&gt;8850000,K35&lt;=9800000),1.25,IF(AND(K35&gt;9800000,K35&lt;=10950000),1.5,IF(AND(K35&gt;10950000,K35&lt;=11200000),1.75,IF(AND(K35&gt;11200000,K35&lt;=12050000),2,IF(AND(K35&gt;12050000,K35&lt;=12950000),3,IF(AND(K35&gt;12950000,K35&lt;=14150000),4,IF(AND(K35&gt;14150000,K35&lt;=15550000),5,IF(AND(K35&gt;15550000,K35&lt;=17050000),6,IF(AND(K35&gt;17050000,K35&lt;=19500000),7,IF(AND(K35&gt;19500000,K35&lt;=22700000),8,IF(AND(K35&gt;22700000,K35&lt;=26600000),9,IF(AND(K35&gt;26600000,K35&lt;=28100000),10,IF(AND(K35&gt;28100000,K35&lt;=30100000),11,IF(AND(K35&gt;30100000,K35&lt;=32600000),12,IF(AND(K35&gt;32600000,K35&lt;=35400000),13,IF(AND(K35&gt;35400000,K35&lt;=38900000),14,IF(AND(K35&gt;38900000,K35&lt;=43000000),15,IF(AND(K35&gt;43000000,K35&lt;=47400000),16,IF(AND(K35&gt;47400000,K35&lt;=51200000),17,IF(AND(K35&gt;51200000,K35&lt;=55800000),18,IF(AND(K35&gt;55800000,K35&lt;=60400000),19,IF(AND(K35&gt;60400000,K35&lt;=66700000),20,IF(AND(K35&gt;66700000,K35&lt;=74500000),21,IF(AND(K35&gt;74500000,K35&lt;=83200000),22,IF(AND(K35&gt;83200000,K35&lt;=95600000),23,IF(AND(K35&gt;95600000,K35&lt;=110000000),24,IF(AND(K35&gt;110000000,K35&lt;=134000000),25,IF(AND(K35&gt;134000000,K35&lt;=169000000),26,IF(AND(K35&gt;169000000,K35&lt;=221000000),27,IF(AND(K35&gt;221000000,K35&lt;=390000000),28,IF(AND(K35&gt;390000000,K35&lt;=463000000),29,IF(AND(K35&gt;463000000,K35&lt;=561000000),30,IF(AND(K35&gt;561000000,K35&lt;=709000000),31,IF(AND(K35&gt;709000000,K35&lt;=965000000),32,IF(AND(K35&gt;965000000,K35&lt;=1419000000),33,34))))))))))))))))))))))))))))))))))))))))</f>
        <v>0</v>
      </c>
      <c r="S35" s="10"/>
      <c r="T35" s="10"/>
    </row>
    <row r="36" spans="1:21">
      <c r="D36" s="1"/>
      <c r="E36" s="1"/>
      <c r="G36" s="1"/>
      <c r="H36" s="1"/>
      <c r="I36" s="1"/>
      <c r="J36" s="1"/>
      <c r="L36">
        <f>IF(OR(G36="TK/0",G36="TK/1",G36="K/0",G36="HB/0",G36="HB/1"),P36,IF(OR(G36="TK/2",G36="TK/3",G36="K/1",G36="K/2",G36="HB/2",G36="HB/3"),Q36,R36))</f>
        <v>0</v>
      </c>
      <c r="M36" s="1"/>
      <c r="N36" s="2"/>
      <c r="P36" s="10">
        <f>IF(K36&lt;=5400000,0,IF(AND(K36&gt;5400000,K36&lt;=5650000),0.25,IF(AND(K36&gt;5650000,K36&lt;=5950000),0.5,IF(AND(K36&gt;5950000,K36&lt;=6300000),0.75,IF(AND(K36&gt;6300000,K36&lt;=6750000),1,IF(AND(K36&gt;6750000,K36&lt;=7500000),1.25,IF(AND(K36&gt;7500000,K36&lt;=8550000),1.5,IF(AND(K36&gt;8550000,K36&lt;=9650000),1.75,IF(AND(K36&gt;9650000,K36&lt;=10050000),2,IF(AND(K36&gt;10050000,K36&lt;=10350000),2.25,IF(AND(K36&gt;10350000,K36&lt;=10700000),2.5,IF(AND(K36&gt;10700000,K36&lt;=11050000),3,IF(AND(K36&gt;11050000,K36&lt;=11600000),3.5,IF(AND(K36&gt;11600000,K36&lt;=12500000),4,IF(AND(K36&gt;12500000,K36&lt;=13750000),5,IF(AND(K36&gt;13750000,K36&lt;=15100000),6,IF(AND(K36&gt;15100000,K36&lt;=16950000),7,IF(AND(K36&gt;16950000,K36&lt;=19750000),8,IF(AND(K36&gt;19750000,K36&lt;=24150000),9,IF(AND(K36&gt;24150000,K36&lt;=26450000),10,IF(AND(K36&gt;26450000,K36&lt;=28000000),11,IF(AND(K36&gt;28000000,K36&lt;=30050000),12,IF(AND(K36&gt;30050000,K36&lt;=32400000),13,IF(AND(K36&gt;32400000,K36&lt;=35400000),14,IF(AND(K36&gt;35400000,K36&lt;=39100000),15,IF(AND(K36&gt;39100000,K36&lt;=43850000),16,IF(AND(K36&gt;43850000,K36&lt;=47800000),17,IF(AND(K36&gt;47800000,K36&lt;=51400000),18,IF(AND(K36&gt;51400000,K36&lt;=56300000),19,IF(AND(K36&gt;56300000,K36&lt;=62200000),20,IF(AND(K36&gt;62200000,K36&lt;=68600000),21,IF(AND(K36&gt;68600000,K36&lt;=77500000),22,IF(AND(K36&gt;77500000,K36&lt;=89000000),23,IF(AND(K36&gt;89000000,K36&lt;=103000000),24,IF(AND(K36&gt;103000000,K36&lt;=125000000),25,IF(AND(K36&gt;125000000,K36&lt;=157000000),26,IF(AND(K36&gt;157000000,K36&lt;=206000000),27,IF(AND(K36&gt;206000000,K36&lt;=337000000),28,IF(AND(K36&gt;337000000,K36&lt;=454000000),29,IF(AND(K36&gt;454000000,K36&lt;=550000000),30,IF(AND(K36&gt;550000000,K36&lt;=695000000),31,IF(AND(K36&gt;695000000,K36&lt;=910000000),32,IF(AND(K36&gt;910000000,K36&lt;=1400000000),33,34)))))))))))))))))))))))))))))))))))))))))))</f>
        <v>0</v>
      </c>
      <c r="Q36" s="10">
        <f>IF(K36&lt;=6200000,0,IF(AND(K36&gt;6200000,K36&lt;=6500000),0.25,IF(AND(K36&gt;6500000,K36&lt;=6850000),0.5,IF(AND(K36&gt;6850000,K36&lt;=7300000),0.75,IF(AND(K36&gt;7300000,K36&lt;=9200000),1,IF(AND(K36&gt;9200000,K36&lt;=10750000),1.5,IF(AND(K36&gt;10750000,K36&lt;=11250000),2,IF(AND(K36&gt;11250000,K36&lt;=11600000),2.5,IF(AND(K36&gt;11600000,K36&lt;=12600000),3,IF(AND(K36&gt;12600000,K36&lt;=13600000),4,IF(AND(K36&gt;13600000,K36&lt;=14950000),5,IF(AND(K36&gt;14950000,K36&lt;=16400000),6,IF(AND(K36&gt;16400000,K36&lt;=18450000),7,IF(AND(K36&gt;18450000,K36&lt;=21850000),8,IF(AND(K36&gt;21850000,K36&lt;=26000000),9,IF(AND(K36&gt;26000000,K36&lt;=27700000),10,IF(AND(K36&gt;27700000,K36&lt;=29350000),11,IF(AND(K36&gt;29350000,K36&lt;=31450000),12,IF(AND(K36&gt;31450000,K36&lt;=33950000),13,IF(AND(K36&gt;33950000,K36&lt;=37100000),14,IF(AND(K36&gt;37100000,K36&lt;=41100000),15,IF(AND(K36&gt;41100000,K36&lt;=45800000),16,IF(AND(K36&gt;45800000,K36&lt;=49500000),17,IF(AND(K36&gt;49500000,K36&lt;=53800000),18,IF(AND(K36&gt;53800000,K36&lt;=58500000),19,IF(AND(K36&gt;58500000,K36&lt;=64000000),20,IF(AND(K36&gt;64000000,K36&lt;=71000000),21,IF(AND(K36&gt;71000000,K36&lt;=80000000),22,IF(AND(K36&gt;80000000,K36&lt;=93000000),23,IF(AND(K36&gt;93000000,K36&lt;=109000000),24,IF(AND(K36&gt;109000000,K36&lt;=129000000),25,IF(AND(K36&gt;129000000,K36&lt;=163000000),26,IF(AND(K36&gt;163000000,K36&lt;=211000000),27,IF(AND(K36&gt;211000000,K36&lt;=374000000),28,IF(AND(K36&gt;374000000,K36&lt;=459000000),29,IF(AND(K36&gt;459000000,K36&lt;=555000000),30,IF(AND(K36&gt;555000000,K36&lt;=704000000),31,IF(AND(K36&gt;704000000,K36&lt;=957000000),32,IF(AND(K36&gt;957000000,K36&lt;=1405000000),33,34)))))))))))))))))))))))))))))))))))))))</f>
        <v>0</v>
      </c>
      <c r="R36" s="10">
        <f>IF(K36&lt;=6600000,0,IF(AND(K36&gt;6600000,K36&lt;=6950000),0.25,IF(AND(K36&gt;6950000,K36&lt;=7350000),0.5,IF(AND(K36&gt;7350000,K36&lt;=7800000),0.75,IF(AND(K36&gt;7800000,K36&lt;=8850000),1,IF(AND(K36&gt;8850000,K36&lt;=9800000),1.25,IF(AND(K36&gt;9800000,K36&lt;=10950000),1.5,IF(AND(K36&gt;10950000,K36&lt;=11200000),1.75,IF(AND(K36&gt;11200000,K36&lt;=12050000),2,IF(AND(K36&gt;12050000,K36&lt;=12950000),3,IF(AND(K36&gt;12950000,K36&lt;=14150000),4,IF(AND(K36&gt;14150000,K36&lt;=15550000),5,IF(AND(K36&gt;15550000,K36&lt;=17050000),6,IF(AND(K36&gt;17050000,K36&lt;=19500000),7,IF(AND(K36&gt;19500000,K36&lt;=22700000),8,IF(AND(K36&gt;22700000,K36&lt;=26600000),9,IF(AND(K36&gt;26600000,K36&lt;=28100000),10,IF(AND(K36&gt;28100000,K36&lt;=30100000),11,IF(AND(K36&gt;30100000,K36&lt;=32600000),12,IF(AND(K36&gt;32600000,K36&lt;=35400000),13,IF(AND(K36&gt;35400000,K36&lt;=38900000),14,IF(AND(K36&gt;38900000,K36&lt;=43000000),15,IF(AND(K36&gt;43000000,K36&lt;=47400000),16,IF(AND(K36&gt;47400000,K36&lt;=51200000),17,IF(AND(K36&gt;51200000,K36&lt;=55800000),18,IF(AND(K36&gt;55800000,K36&lt;=60400000),19,IF(AND(K36&gt;60400000,K36&lt;=66700000),20,IF(AND(K36&gt;66700000,K36&lt;=74500000),21,IF(AND(K36&gt;74500000,K36&lt;=83200000),22,IF(AND(K36&gt;83200000,K36&lt;=95600000),23,IF(AND(K36&gt;95600000,K36&lt;=110000000),24,IF(AND(K36&gt;110000000,K36&lt;=134000000),25,IF(AND(K36&gt;134000000,K36&lt;=169000000),26,IF(AND(K36&gt;169000000,K36&lt;=221000000),27,IF(AND(K36&gt;221000000,K36&lt;=390000000),28,IF(AND(K36&gt;390000000,K36&lt;=463000000),29,IF(AND(K36&gt;463000000,K36&lt;=561000000),30,IF(AND(K36&gt;561000000,K36&lt;=709000000),31,IF(AND(K36&gt;709000000,K36&lt;=965000000),32,IF(AND(K36&gt;965000000,K36&lt;=1419000000),33,34))))))))))))))))))))))))))))))))))))))))</f>
        <v>0</v>
      </c>
      <c r="S36" s="10"/>
      <c r="T36" s="10"/>
    </row>
    <row r="37" spans="1:21">
      <c r="D37" s="1"/>
      <c r="E37" s="1"/>
      <c r="G37" s="1"/>
      <c r="H37" s="1"/>
      <c r="I37" s="1"/>
      <c r="J37" s="1"/>
      <c r="L37">
        <f>IF(OR(G37="TK/0",G37="TK/1",G37="K/0",G37="HB/0",G37="HB/1"),P37,IF(OR(G37="TK/2",G37="TK/3",G37="K/1",G37="K/2",G37="HB/2",G37="HB/3"),Q37,R37))</f>
        <v>0</v>
      </c>
      <c r="M37" s="1"/>
      <c r="N37" s="2"/>
      <c r="P37" s="10">
        <f>IF(K37&lt;=5400000,0,IF(AND(K37&gt;5400000,K37&lt;=5650000),0.25,IF(AND(K37&gt;5650000,K37&lt;=5950000),0.5,IF(AND(K37&gt;5950000,K37&lt;=6300000),0.75,IF(AND(K37&gt;6300000,K37&lt;=6750000),1,IF(AND(K37&gt;6750000,K37&lt;=7500000),1.25,IF(AND(K37&gt;7500000,K37&lt;=8550000),1.5,IF(AND(K37&gt;8550000,K37&lt;=9650000),1.75,IF(AND(K37&gt;9650000,K37&lt;=10050000),2,IF(AND(K37&gt;10050000,K37&lt;=10350000),2.25,IF(AND(K37&gt;10350000,K37&lt;=10700000),2.5,IF(AND(K37&gt;10700000,K37&lt;=11050000),3,IF(AND(K37&gt;11050000,K37&lt;=11600000),3.5,IF(AND(K37&gt;11600000,K37&lt;=12500000),4,IF(AND(K37&gt;12500000,K37&lt;=13750000),5,IF(AND(K37&gt;13750000,K37&lt;=15100000),6,IF(AND(K37&gt;15100000,K37&lt;=16950000),7,IF(AND(K37&gt;16950000,K37&lt;=19750000),8,IF(AND(K37&gt;19750000,K37&lt;=24150000),9,IF(AND(K37&gt;24150000,K37&lt;=26450000),10,IF(AND(K37&gt;26450000,K37&lt;=28000000),11,IF(AND(K37&gt;28000000,K37&lt;=30050000),12,IF(AND(K37&gt;30050000,K37&lt;=32400000),13,IF(AND(K37&gt;32400000,K37&lt;=35400000),14,IF(AND(K37&gt;35400000,K37&lt;=39100000),15,IF(AND(K37&gt;39100000,K37&lt;=43850000),16,IF(AND(K37&gt;43850000,K37&lt;=47800000),17,IF(AND(K37&gt;47800000,K37&lt;=51400000),18,IF(AND(K37&gt;51400000,K37&lt;=56300000),19,IF(AND(K37&gt;56300000,K37&lt;=62200000),20,IF(AND(K37&gt;62200000,K37&lt;=68600000),21,IF(AND(K37&gt;68600000,K37&lt;=77500000),22,IF(AND(K37&gt;77500000,K37&lt;=89000000),23,IF(AND(K37&gt;89000000,K37&lt;=103000000),24,IF(AND(K37&gt;103000000,K37&lt;=125000000),25,IF(AND(K37&gt;125000000,K37&lt;=157000000),26,IF(AND(K37&gt;157000000,K37&lt;=206000000),27,IF(AND(K37&gt;206000000,K37&lt;=337000000),28,IF(AND(K37&gt;337000000,K37&lt;=454000000),29,IF(AND(K37&gt;454000000,K37&lt;=550000000),30,IF(AND(K37&gt;550000000,K37&lt;=695000000),31,IF(AND(K37&gt;695000000,K37&lt;=910000000),32,IF(AND(K37&gt;910000000,K37&lt;=1400000000),33,34)))))))))))))))))))))))))))))))))))))))))))</f>
        <v>0</v>
      </c>
      <c r="Q37" s="10">
        <f>IF(K37&lt;=6200000,0,IF(AND(K37&gt;6200000,K37&lt;=6500000),0.25,IF(AND(K37&gt;6500000,K37&lt;=6850000),0.5,IF(AND(K37&gt;6850000,K37&lt;=7300000),0.75,IF(AND(K37&gt;7300000,K37&lt;=9200000),1,IF(AND(K37&gt;9200000,K37&lt;=10750000),1.5,IF(AND(K37&gt;10750000,K37&lt;=11250000),2,IF(AND(K37&gt;11250000,K37&lt;=11600000),2.5,IF(AND(K37&gt;11600000,K37&lt;=12600000),3,IF(AND(K37&gt;12600000,K37&lt;=13600000),4,IF(AND(K37&gt;13600000,K37&lt;=14950000),5,IF(AND(K37&gt;14950000,K37&lt;=16400000),6,IF(AND(K37&gt;16400000,K37&lt;=18450000),7,IF(AND(K37&gt;18450000,K37&lt;=21850000),8,IF(AND(K37&gt;21850000,K37&lt;=26000000),9,IF(AND(K37&gt;26000000,K37&lt;=27700000),10,IF(AND(K37&gt;27700000,K37&lt;=29350000),11,IF(AND(K37&gt;29350000,K37&lt;=31450000),12,IF(AND(K37&gt;31450000,K37&lt;=33950000),13,IF(AND(K37&gt;33950000,K37&lt;=37100000),14,IF(AND(K37&gt;37100000,K37&lt;=41100000),15,IF(AND(K37&gt;41100000,K37&lt;=45800000),16,IF(AND(K37&gt;45800000,K37&lt;=49500000),17,IF(AND(K37&gt;49500000,K37&lt;=53800000),18,IF(AND(K37&gt;53800000,K37&lt;=58500000),19,IF(AND(K37&gt;58500000,K37&lt;=64000000),20,IF(AND(K37&gt;64000000,K37&lt;=71000000),21,IF(AND(K37&gt;71000000,K37&lt;=80000000),22,IF(AND(K37&gt;80000000,K37&lt;=93000000),23,IF(AND(K37&gt;93000000,K37&lt;=109000000),24,IF(AND(K37&gt;109000000,K37&lt;=129000000),25,IF(AND(K37&gt;129000000,K37&lt;=163000000),26,IF(AND(K37&gt;163000000,K37&lt;=211000000),27,IF(AND(K37&gt;211000000,K37&lt;=374000000),28,IF(AND(K37&gt;374000000,K37&lt;=459000000),29,IF(AND(K37&gt;459000000,K37&lt;=555000000),30,IF(AND(K37&gt;555000000,K37&lt;=704000000),31,IF(AND(K37&gt;704000000,K37&lt;=957000000),32,IF(AND(K37&gt;957000000,K37&lt;=1405000000),33,34)))))))))))))))))))))))))))))))))))))))</f>
        <v>0</v>
      </c>
      <c r="R37" s="10">
        <f>IF(K37&lt;=6600000,0,IF(AND(K37&gt;6600000,K37&lt;=6950000),0.25,IF(AND(K37&gt;6950000,K37&lt;=7350000),0.5,IF(AND(K37&gt;7350000,K37&lt;=7800000),0.75,IF(AND(K37&gt;7800000,K37&lt;=8850000),1,IF(AND(K37&gt;8850000,K37&lt;=9800000),1.25,IF(AND(K37&gt;9800000,K37&lt;=10950000),1.5,IF(AND(K37&gt;10950000,K37&lt;=11200000),1.75,IF(AND(K37&gt;11200000,K37&lt;=12050000),2,IF(AND(K37&gt;12050000,K37&lt;=12950000),3,IF(AND(K37&gt;12950000,K37&lt;=14150000),4,IF(AND(K37&gt;14150000,K37&lt;=15550000),5,IF(AND(K37&gt;15550000,K37&lt;=17050000),6,IF(AND(K37&gt;17050000,K37&lt;=19500000),7,IF(AND(K37&gt;19500000,K37&lt;=22700000),8,IF(AND(K37&gt;22700000,K37&lt;=26600000),9,IF(AND(K37&gt;26600000,K37&lt;=28100000),10,IF(AND(K37&gt;28100000,K37&lt;=30100000),11,IF(AND(K37&gt;30100000,K37&lt;=32600000),12,IF(AND(K37&gt;32600000,K37&lt;=35400000),13,IF(AND(K37&gt;35400000,K37&lt;=38900000),14,IF(AND(K37&gt;38900000,K37&lt;=43000000),15,IF(AND(K37&gt;43000000,K37&lt;=47400000),16,IF(AND(K37&gt;47400000,K37&lt;=51200000),17,IF(AND(K37&gt;51200000,K37&lt;=55800000),18,IF(AND(K37&gt;55800000,K37&lt;=60400000),19,IF(AND(K37&gt;60400000,K37&lt;=66700000),20,IF(AND(K37&gt;66700000,K37&lt;=74500000),21,IF(AND(K37&gt;74500000,K37&lt;=83200000),22,IF(AND(K37&gt;83200000,K37&lt;=95600000),23,IF(AND(K37&gt;95600000,K37&lt;=110000000),24,IF(AND(K37&gt;110000000,K37&lt;=134000000),25,IF(AND(K37&gt;134000000,K37&lt;=169000000),26,IF(AND(K37&gt;169000000,K37&lt;=221000000),27,IF(AND(K37&gt;221000000,K37&lt;=390000000),28,IF(AND(K37&gt;390000000,K37&lt;=463000000),29,IF(AND(K37&gt;463000000,K37&lt;=561000000),30,IF(AND(K37&gt;561000000,K37&lt;=709000000),31,IF(AND(K37&gt;709000000,K37&lt;=965000000),32,IF(AND(K37&gt;965000000,K37&lt;=1419000000),33,34))))))))))))))))))))))))))))))))))))))))</f>
        <v>0</v>
      </c>
      <c r="S37" s="10"/>
      <c r="T37" s="10"/>
    </row>
    <row r="38" spans="1:21">
      <c r="D38" s="1"/>
      <c r="E38" s="1"/>
      <c r="G38" s="1"/>
      <c r="H38" s="1"/>
      <c r="I38" s="1"/>
      <c r="J38" s="1"/>
      <c r="L38">
        <f>IF(OR(G38="TK/0",G38="TK/1",G38="K/0",G38="HB/0",G38="HB/1"),P38,IF(OR(G38="TK/2",G38="TK/3",G38="K/1",G38="K/2",G38="HB/2",G38="HB/3"),Q38,R38))</f>
        <v>0</v>
      </c>
      <c r="M38" s="1"/>
      <c r="N38" s="2"/>
      <c r="P38" s="10">
        <f>IF(K38&lt;=5400000,0,IF(AND(K38&gt;5400000,K38&lt;=5650000),0.25,IF(AND(K38&gt;5650000,K38&lt;=5950000),0.5,IF(AND(K38&gt;5950000,K38&lt;=6300000),0.75,IF(AND(K38&gt;6300000,K38&lt;=6750000),1,IF(AND(K38&gt;6750000,K38&lt;=7500000),1.25,IF(AND(K38&gt;7500000,K38&lt;=8550000),1.5,IF(AND(K38&gt;8550000,K38&lt;=9650000),1.75,IF(AND(K38&gt;9650000,K38&lt;=10050000),2,IF(AND(K38&gt;10050000,K38&lt;=10350000),2.25,IF(AND(K38&gt;10350000,K38&lt;=10700000),2.5,IF(AND(K38&gt;10700000,K38&lt;=11050000),3,IF(AND(K38&gt;11050000,K38&lt;=11600000),3.5,IF(AND(K38&gt;11600000,K38&lt;=12500000),4,IF(AND(K38&gt;12500000,K38&lt;=13750000),5,IF(AND(K38&gt;13750000,K38&lt;=15100000),6,IF(AND(K38&gt;15100000,K38&lt;=16950000),7,IF(AND(K38&gt;16950000,K38&lt;=19750000),8,IF(AND(K38&gt;19750000,K38&lt;=24150000),9,IF(AND(K38&gt;24150000,K38&lt;=26450000),10,IF(AND(K38&gt;26450000,K38&lt;=28000000),11,IF(AND(K38&gt;28000000,K38&lt;=30050000),12,IF(AND(K38&gt;30050000,K38&lt;=32400000),13,IF(AND(K38&gt;32400000,K38&lt;=35400000),14,IF(AND(K38&gt;35400000,K38&lt;=39100000),15,IF(AND(K38&gt;39100000,K38&lt;=43850000),16,IF(AND(K38&gt;43850000,K38&lt;=47800000),17,IF(AND(K38&gt;47800000,K38&lt;=51400000),18,IF(AND(K38&gt;51400000,K38&lt;=56300000),19,IF(AND(K38&gt;56300000,K38&lt;=62200000),20,IF(AND(K38&gt;62200000,K38&lt;=68600000),21,IF(AND(K38&gt;68600000,K38&lt;=77500000),22,IF(AND(K38&gt;77500000,K38&lt;=89000000),23,IF(AND(K38&gt;89000000,K38&lt;=103000000),24,IF(AND(K38&gt;103000000,K38&lt;=125000000),25,IF(AND(K38&gt;125000000,K38&lt;=157000000),26,IF(AND(K38&gt;157000000,K38&lt;=206000000),27,IF(AND(K38&gt;206000000,K38&lt;=337000000),28,IF(AND(K38&gt;337000000,K38&lt;=454000000),29,IF(AND(K38&gt;454000000,K38&lt;=550000000),30,IF(AND(K38&gt;550000000,K38&lt;=695000000),31,IF(AND(K38&gt;695000000,K38&lt;=910000000),32,IF(AND(K38&gt;910000000,K38&lt;=1400000000),33,34)))))))))))))))))))))))))))))))))))))))))))</f>
        <v>0</v>
      </c>
      <c r="Q38" s="10">
        <f>IF(K38&lt;=6200000,0,IF(AND(K38&gt;6200000,K38&lt;=6500000),0.25,IF(AND(K38&gt;6500000,K38&lt;=6850000),0.5,IF(AND(K38&gt;6850000,K38&lt;=7300000),0.75,IF(AND(K38&gt;7300000,K38&lt;=9200000),1,IF(AND(K38&gt;9200000,K38&lt;=10750000),1.5,IF(AND(K38&gt;10750000,K38&lt;=11250000),2,IF(AND(K38&gt;11250000,K38&lt;=11600000),2.5,IF(AND(K38&gt;11600000,K38&lt;=12600000),3,IF(AND(K38&gt;12600000,K38&lt;=13600000),4,IF(AND(K38&gt;13600000,K38&lt;=14950000),5,IF(AND(K38&gt;14950000,K38&lt;=16400000),6,IF(AND(K38&gt;16400000,K38&lt;=18450000),7,IF(AND(K38&gt;18450000,K38&lt;=21850000),8,IF(AND(K38&gt;21850000,K38&lt;=26000000),9,IF(AND(K38&gt;26000000,K38&lt;=27700000),10,IF(AND(K38&gt;27700000,K38&lt;=29350000),11,IF(AND(K38&gt;29350000,K38&lt;=31450000),12,IF(AND(K38&gt;31450000,K38&lt;=33950000),13,IF(AND(K38&gt;33950000,K38&lt;=37100000),14,IF(AND(K38&gt;37100000,K38&lt;=41100000),15,IF(AND(K38&gt;41100000,K38&lt;=45800000),16,IF(AND(K38&gt;45800000,K38&lt;=49500000),17,IF(AND(K38&gt;49500000,K38&lt;=53800000),18,IF(AND(K38&gt;53800000,K38&lt;=58500000),19,IF(AND(K38&gt;58500000,K38&lt;=64000000),20,IF(AND(K38&gt;64000000,K38&lt;=71000000),21,IF(AND(K38&gt;71000000,K38&lt;=80000000),22,IF(AND(K38&gt;80000000,K38&lt;=93000000),23,IF(AND(K38&gt;93000000,K38&lt;=109000000),24,IF(AND(K38&gt;109000000,K38&lt;=129000000),25,IF(AND(K38&gt;129000000,K38&lt;=163000000),26,IF(AND(K38&gt;163000000,K38&lt;=211000000),27,IF(AND(K38&gt;211000000,K38&lt;=374000000),28,IF(AND(K38&gt;374000000,K38&lt;=459000000),29,IF(AND(K38&gt;459000000,K38&lt;=555000000),30,IF(AND(K38&gt;555000000,K38&lt;=704000000),31,IF(AND(K38&gt;704000000,K38&lt;=957000000),32,IF(AND(K38&gt;957000000,K38&lt;=1405000000),33,34)))))))))))))))))))))))))))))))))))))))</f>
        <v>0</v>
      </c>
      <c r="R38" s="10">
        <f>IF(K38&lt;=6600000,0,IF(AND(K38&gt;6600000,K38&lt;=6950000),0.25,IF(AND(K38&gt;6950000,K38&lt;=7350000),0.5,IF(AND(K38&gt;7350000,K38&lt;=7800000),0.75,IF(AND(K38&gt;7800000,K38&lt;=8850000),1,IF(AND(K38&gt;8850000,K38&lt;=9800000),1.25,IF(AND(K38&gt;9800000,K38&lt;=10950000),1.5,IF(AND(K38&gt;10950000,K38&lt;=11200000),1.75,IF(AND(K38&gt;11200000,K38&lt;=12050000),2,IF(AND(K38&gt;12050000,K38&lt;=12950000),3,IF(AND(K38&gt;12950000,K38&lt;=14150000),4,IF(AND(K38&gt;14150000,K38&lt;=15550000),5,IF(AND(K38&gt;15550000,K38&lt;=17050000),6,IF(AND(K38&gt;17050000,K38&lt;=19500000),7,IF(AND(K38&gt;19500000,K38&lt;=22700000),8,IF(AND(K38&gt;22700000,K38&lt;=26600000),9,IF(AND(K38&gt;26600000,K38&lt;=28100000),10,IF(AND(K38&gt;28100000,K38&lt;=30100000),11,IF(AND(K38&gt;30100000,K38&lt;=32600000),12,IF(AND(K38&gt;32600000,K38&lt;=35400000),13,IF(AND(K38&gt;35400000,K38&lt;=38900000),14,IF(AND(K38&gt;38900000,K38&lt;=43000000),15,IF(AND(K38&gt;43000000,K38&lt;=47400000),16,IF(AND(K38&gt;47400000,K38&lt;=51200000),17,IF(AND(K38&gt;51200000,K38&lt;=55800000),18,IF(AND(K38&gt;55800000,K38&lt;=60400000),19,IF(AND(K38&gt;60400000,K38&lt;=66700000),20,IF(AND(K38&gt;66700000,K38&lt;=74500000),21,IF(AND(K38&gt;74500000,K38&lt;=83200000),22,IF(AND(K38&gt;83200000,K38&lt;=95600000),23,IF(AND(K38&gt;95600000,K38&lt;=110000000),24,IF(AND(K38&gt;110000000,K38&lt;=134000000),25,IF(AND(K38&gt;134000000,K38&lt;=169000000),26,IF(AND(K38&gt;169000000,K38&lt;=221000000),27,IF(AND(K38&gt;221000000,K38&lt;=390000000),28,IF(AND(K38&gt;390000000,K38&lt;=463000000),29,IF(AND(K38&gt;463000000,K38&lt;=561000000),30,IF(AND(K38&gt;561000000,K38&lt;=709000000),31,IF(AND(K38&gt;709000000,K38&lt;=965000000),32,IF(AND(K38&gt;965000000,K38&lt;=1419000000),33,34))))))))))))))))))))))))))))))))))))))))</f>
        <v>0</v>
      </c>
      <c r="S38" s="10"/>
      <c r="T38" s="10"/>
    </row>
    <row r="39" spans="1:21">
      <c r="D39" s="1"/>
      <c r="E39" s="1"/>
      <c r="G39" s="1"/>
      <c r="H39" s="1"/>
      <c r="I39" s="1"/>
      <c r="J39" s="1"/>
      <c r="L39">
        <f>IF(OR(G39="TK/0",G39="TK/1",G39="K/0",G39="HB/0",G39="HB/1"),P39,IF(OR(G39="TK/2",G39="TK/3",G39="K/1",G39="K/2",G39="HB/2",G39="HB/3"),Q39,R39))</f>
        <v>0</v>
      </c>
      <c r="M39" s="1"/>
      <c r="N39" s="2"/>
      <c r="P39" s="10">
        <f>IF(K39&lt;=5400000,0,IF(AND(K39&gt;5400000,K39&lt;=5650000),0.25,IF(AND(K39&gt;5650000,K39&lt;=5950000),0.5,IF(AND(K39&gt;5950000,K39&lt;=6300000),0.75,IF(AND(K39&gt;6300000,K39&lt;=6750000),1,IF(AND(K39&gt;6750000,K39&lt;=7500000),1.25,IF(AND(K39&gt;7500000,K39&lt;=8550000),1.5,IF(AND(K39&gt;8550000,K39&lt;=9650000),1.75,IF(AND(K39&gt;9650000,K39&lt;=10050000),2,IF(AND(K39&gt;10050000,K39&lt;=10350000),2.25,IF(AND(K39&gt;10350000,K39&lt;=10700000),2.5,IF(AND(K39&gt;10700000,K39&lt;=11050000),3,IF(AND(K39&gt;11050000,K39&lt;=11600000),3.5,IF(AND(K39&gt;11600000,K39&lt;=12500000),4,IF(AND(K39&gt;12500000,K39&lt;=13750000),5,IF(AND(K39&gt;13750000,K39&lt;=15100000),6,IF(AND(K39&gt;15100000,K39&lt;=16950000),7,IF(AND(K39&gt;16950000,K39&lt;=19750000),8,IF(AND(K39&gt;19750000,K39&lt;=24150000),9,IF(AND(K39&gt;24150000,K39&lt;=26450000),10,IF(AND(K39&gt;26450000,K39&lt;=28000000),11,IF(AND(K39&gt;28000000,K39&lt;=30050000),12,IF(AND(K39&gt;30050000,K39&lt;=32400000),13,IF(AND(K39&gt;32400000,K39&lt;=35400000),14,IF(AND(K39&gt;35400000,K39&lt;=39100000),15,IF(AND(K39&gt;39100000,K39&lt;=43850000),16,IF(AND(K39&gt;43850000,K39&lt;=47800000),17,IF(AND(K39&gt;47800000,K39&lt;=51400000),18,IF(AND(K39&gt;51400000,K39&lt;=56300000),19,IF(AND(K39&gt;56300000,K39&lt;=62200000),20,IF(AND(K39&gt;62200000,K39&lt;=68600000),21,IF(AND(K39&gt;68600000,K39&lt;=77500000),22,IF(AND(K39&gt;77500000,K39&lt;=89000000),23,IF(AND(K39&gt;89000000,K39&lt;=103000000),24,IF(AND(K39&gt;103000000,K39&lt;=125000000),25,IF(AND(K39&gt;125000000,K39&lt;=157000000),26,IF(AND(K39&gt;157000000,K39&lt;=206000000),27,IF(AND(K39&gt;206000000,K39&lt;=337000000),28,IF(AND(K39&gt;337000000,K39&lt;=454000000),29,IF(AND(K39&gt;454000000,K39&lt;=550000000),30,IF(AND(K39&gt;550000000,K39&lt;=695000000),31,IF(AND(K39&gt;695000000,K39&lt;=910000000),32,IF(AND(K39&gt;910000000,K39&lt;=1400000000),33,34)))))))))))))))))))))))))))))))))))))))))))</f>
        <v>0</v>
      </c>
      <c r="Q39" s="10">
        <f>IF(K39&lt;=6200000,0,IF(AND(K39&gt;6200000,K39&lt;=6500000),0.25,IF(AND(K39&gt;6500000,K39&lt;=6850000),0.5,IF(AND(K39&gt;6850000,K39&lt;=7300000),0.75,IF(AND(K39&gt;7300000,K39&lt;=9200000),1,IF(AND(K39&gt;9200000,K39&lt;=10750000),1.5,IF(AND(K39&gt;10750000,K39&lt;=11250000),2,IF(AND(K39&gt;11250000,K39&lt;=11600000),2.5,IF(AND(K39&gt;11600000,K39&lt;=12600000),3,IF(AND(K39&gt;12600000,K39&lt;=13600000),4,IF(AND(K39&gt;13600000,K39&lt;=14950000),5,IF(AND(K39&gt;14950000,K39&lt;=16400000),6,IF(AND(K39&gt;16400000,K39&lt;=18450000),7,IF(AND(K39&gt;18450000,K39&lt;=21850000),8,IF(AND(K39&gt;21850000,K39&lt;=26000000),9,IF(AND(K39&gt;26000000,K39&lt;=27700000),10,IF(AND(K39&gt;27700000,K39&lt;=29350000),11,IF(AND(K39&gt;29350000,K39&lt;=31450000),12,IF(AND(K39&gt;31450000,K39&lt;=33950000),13,IF(AND(K39&gt;33950000,K39&lt;=37100000),14,IF(AND(K39&gt;37100000,K39&lt;=41100000),15,IF(AND(K39&gt;41100000,K39&lt;=45800000),16,IF(AND(K39&gt;45800000,K39&lt;=49500000),17,IF(AND(K39&gt;49500000,K39&lt;=53800000),18,IF(AND(K39&gt;53800000,K39&lt;=58500000),19,IF(AND(K39&gt;58500000,K39&lt;=64000000),20,IF(AND(K39&gt;64000000,K39&lt;=71000000),21,IF(AND(K39&gt;71000000,K39&lt;=80000000),22,IF(AND(K39&gt;80000000,K39&lt;=93000000),23,IF(AND(K39&gt;93000000,K39&lt;=109000000),24,IF(AND(K39&gt;109000000,K39&lt;=129000000),25,IF(AND(K39&gt;129000000,K39&lt;=163000000),26,IF(AND(K39&gt;163000000,K39&lt;=211000000),27,IF(AND(K39&gt;211000000,K39&lt;=374000000),28,IF(AND(K39&gt;374000000,K39&lt;=459000000),29,IF(AND(K39&gt;459000000,K39&lt;=555000000),30,IF(AND(K39&gt;555000000,K39&lt;=704000000),31,IF(AND(K39&gt;704000000,K39&lt;=957000000),32,IF(AND(K39&gt;957000000,K39&lt;=1405000000),33,34)))))))))))))))))))))))))))))))))))))))</f>
        <v>0</v>
      </c>
      <c r="R39" s="10">
        <f>IF(K39&lt;=6600000,0,IF(AND(K39&gt;6600000,K39&lt;=6950000),0.25,IF(AND(K39&gt;6950000,K39&lt;=7350000),0.5,IF(AND(K39&gt;7350000,K39&lt;=7800000),0.75,IF(AND(K39&gt;7800000,K39&lt;=8850000),1,IF(AND(K39&gt;8850000,K39&lt;=9800000),1.25,IF(AND(K39&gt;9800000,K39&lt;=10950000),1.5,IF(AND(K39&gt;10950000,K39&lt;=11200000),1.75,IF(AND(K39&gt;11200000,K39&lt;=12050000),2,IF(AND(K39&gt;12050000,K39&lt;=12950000),3,IF(AND(K39&gt;12950000,K39&lt;=14150000),4,IF(AND(K39&gt;14150000,K39&lt;=15550000),5,IF(AND(K39&gt;15550000,K39&lt;=17050000),6,IF(AND(K39&gt;17050000,K39&lt;=19500000),7,IF(AND(K39&gt;19500000,K39&lt;=22700000),8,IF(AND(K39&gt;22700000,K39&lt;=26600000),9,IF(AND(K39&gt;26600000,K39&lt;=28100000),10,IF(AND(K39&gt;28100000,K39&lt;=30100000),11,IF(AND(K39&gt;30100000,K39&lt;=32600000),12,IF(AND(K39&gt;32600000,K39&lt;=35400000),13,IF(AND(K39&gt;35400000,K39&lt;=38900000),14,IF(AND(K39&gt;38900000,K39&lt;=43000000),15,IF(AND(K39&gt;43000000,K39&lt;=47400000),16,IF(AND(K39&gt;47400000,K39&lt;=51200000),17,IF(AND(K39&gt;51200000,K39&lt;=55800000),18,IF(AND(K39&gt;55800000,K39&lt;=60400000),19,IF(AND(K39&gt;60400000,K39&lt;=66700000),20,IF(AND(K39&gt;66700000,K39&lt;=74500000),21,IF(AND(K39&gt;74500000,K39&lt;=83200000),22,IF(AND(K39&gt;83200000,K39&lt;=95600000),23,IF(AND(K39&gt;95600000,K39&lt;=110000000),24,IF(AND(K39&gt;110000000,K39&lt;=134000000),25,IF(AND(K39&gt;134000000,K39&lt;=169000000),26,IF(AND(K39&gt;169000000,K39&lt;=221000000),27,IF(AND(K39&gt;221000000,K39&lt;=390000000),28,IF(AND(K39&gt;390000000,K39&lt;=463000000),29,IF(AND(K39&gt;463000000,K39&lt;=561000000),30,IF(AND(K39&gt;561000000,K39&lt;=709000000),31,IF(AND(K39&gt;709000000,K39&lt;=965000000),32,IF(AND(K39&gt;965000000,K39&lt;=1419000000),33,34))))))))))))))))))))))))))))))))))))))))</f>
        <v>0</v>
      </c>
      <c r="S39" s="10"/>
      <c r="T39" s="10"/>
    </row>
    <row r="40" spans="1:21">
      <c r="D40" s="1"/>
      <c r="E40" s="1"/>
      <c r="G40" s="1"/>
      <c r="H40" s="1"/>
      <c r="I40" s="1"/>
      <c r="J40" s="1"/>
      <c r="L40">
        <f>IF(OR(G40="TK/0",G40="TK/1",G40="K/0",G40="HB/0",G40="HB/1"),P40,IF(OR(G40="TK/2",G40="TK/3",G40="K/1",G40="K/2",G40="HB/2",G40="HB/3"),Q40,R40))</f>
        <v>0</v>
      </c>
      <c r="M40" s="1"/>
      <c r="N40" s="2"/>
      <c r="P40" s="10">
        <f>IF(K40&lt;=5400000,0,IF(AND(K40&gt;5400000,K40&lt;=5650000),0.25,IF(AND(K40&gt;5650000,K40&lt;=5950000),0.5,IF(AND(K40&gt;5950000,K40&lt;=6300000),0.75,IF(AND(K40&gt;6300000,K40&lt;=6750000),1,IF(AND(K40&gt;6750000,K40&lt;=7500000),1.25,IF(AND(K40&gt;7500000,K40&lt;=8550000),1.5,IF(AND(K40&gt;8550000,K40&lt;=9650000),1.75,IF(AND(K40&gt;9650000,K40&lt;=10050000),2,IF(AND(K40&gt;10050000,K40&lt;=10350000),2.25,IF(AND(K40&gt;10350000,K40&lt;=10700000),2.5,IF(AND(K40&gt;10700000,K40&lt;=11050000),3,IF(AND(K40&gt;11050000,K40&lt;=11600000),3.5,IF(AND(K40&gt;11600000,K40&lt;=12500000),4,IF(AND(K40&gt;12500000,K40&lt;=13750000),5,IF(AND(K40&gt;13750000,K40&lt;=15100000),6,IF(AND(K40&gt;15100000,K40&lt;=16950000),7,IF(AND(K40&gt;16950000,K40&lt;=19750000),8,IF(AND(K40&gt;19750000,K40&lt;=24150000),9,IF(AND(K40&gt;24150000,K40&lt;=26450000),10,IF(AND(K40&gt;26450000,K40&lt;=28000000),11,IF(AND(K40&gt;28000000,K40&lt;=30050000),12,IF(AND(K40&gt;30050000,K40&lt;=32400000),13,IF(AND(K40&gt;32400000,K40&lt;=35400000),14,IF(AND(K40&gt;35400000,K40&lt;=39100000),15,IF(AND(K40&gt;39100000,K40&lt;=43850000),16,IF(AND(K40&gt;43850000,K40&lt;=47800000),17,IF(AND(K40&gt;47800000,K40&lt;=51400000),18,IF(AND(K40&gt;51400000,K40&lt;=56300000),19,IF(AND(K40&gt;56300000,K40&lt;=62200000),20,IF(AND(K40&gt;62200000,K40&lt;=68600000),21,IF(AND(K40&gt;68600000,K40&lt;=77500000),22,IF(AND(K40&gt;77500000,K40&lt;=89000000),23,IF(AND(K40&gt;89000000,K40&lt;=103000000),24,IF(AND(K40&gt;103000000,K40&lt;=125000000),25,IF(AND(K40&gt;125000000,K40&lt;=157000000),26,IF(AND(K40&gt;157000000,K40&lt;=206000000),27,IF(AND(K40&gt;206000000,K40&lt;=337000000),28,IF(AND(K40&gt;337000000,K40&lt;=454000000),29,IF(AND(K40&gt;454000000,K40&lt;=550000000),30,IF(AND(K40&gt;550000000,K40&lt;=695000000),31,IF(AND(K40&gt;695000000,K40&lt;=910000000),32,IF(AND(K40&gt;910000000,K40&lt;=1400000000),33,34)))))))))))))))))))))))))))))))))))))))))))</f>
        <v>0</v>
      </c>
      <c r="Q40" s="10">
        <f>IF(K40&lt;=6200000,0,IF(AND(K40&gt;6200000,K40&lt;=6500000),0.25,IF(AND(K40&gt;6500000,K40&lt;=6850000),0.5,IF(AND(K40&gt;6850000,K40&lt;=7300000),0.75,IF(AND(K40&gt;7300000,K40&lt;=9200000),1,IF(AND(K40&gt;9200000,K40&lt;=10750000),1.5,IF(AND(K40&gt;10750000,K40&lt;=11250000),2,IF(AND(K40&gt;11250000,K40&lt;=11600000),2.5,IF(AND(K40&gt;11600000,K40&lt;=12600000),3,IF(AND(K40&gt;12600000,K40&lt;=13600000),4,IF(AND(K40&gt;13600000,K40&lt;=14950000),5,IF(AND(K40&gt;14950000,K40&lt;=16400000),6,IF(AND(K40&gt;16400000,K40&lt;=18450000),7,IF(AND(K40&gt;18450000,K40&lt;=21850000),8,IF(AND(K40&gt;21850000,K40&lt;=26000000),9,IF(AND(K40&gt;26000000,K40&lt;=27700000),10,IF(AND(K40&gt;27700000,K40&lt;=29350000),11,IF(AND(K40&gt;29350000,K40&lt;=31450000),12,IF(AND(K40&gt;31450000,K40&lt;=33950000),13,IF(AND(K40&gt;33950000,K40&lt;=37100000),14,IF(AND(K40&gt;37100000,K40&lt;=41100000),15,IF(AND(K40&gt;41100000,K40&lt;=45800000),16,IF(AND(K40&gt;45800000,K40&lt;=49500000),17,IF(AND(K40&gt;49500000,K40&lt;=53800000),18,IF(AND(K40&gt;53800000,K40&lt;=58500000),19,IF(AND(K40&gt;58500000,K40&lt;=64000000),20,IF(AND(K40&gt;64000000,K40&lt;=71000000),21,IF(AND(K40&gt;71000000,K40&lt;=80000000),22,IF(AND(K40&gt;80000000,K40&lt;=93000000),23,IF(AND(K40&gt;93000000,K40&lt;=109000000),24,IF(AND(K40&gt;109000000,K40&lt;=129000000),25,IF(AND(K40&gt;129000000,K40&lt;=163000000),26,IF(AND(K40&gt;163000000,K40&lt;=211000000),27,IF(AND(K40&gt;211000000,K40&lt;=374000000),28,IF(AND(K40&gt;374000000,K40&lt;=459000000),29,IF(AND(K40&gt;459000000,K40&lt;=555000000),30,IF(AND(K40&gt;555000000,K40&lt;=704000000),31,IF(AND(K40&gt;704000000,K40&lt;=957000000),32,IF(AND(K40&gt;957000000,K40&lt;=1405000000),33,34)))))))))))))))))))))))))))))))))))))))</f>
        <v>0</v>
      </c>
      <c r="R40" s="10">
        <f>IF(K40&lt;=6600000,0,IF(AND(K40&gt;6600000,K40&lt;=6950000),0.25,IF(AND(K40&gt;6950000,K40&lt;=7350000),0.5,IF(AND(K40&gt;7350000,K40&lt;=7800000),0.75,IF(AND(K40&gt;7800000,K40&lt;=8850000),1,IF(AND(K40&gt;8850000,K40&lt;=9800000),1.25,IF(AND(K40&gt;9800000,K40&lt;=10950000),1.5,IF(AND(K40&gt;10950000,K40&lt;=11200000),1.75,IF(AND(K40&gt;11200000,K40&lt;=12050000),2,IF(AND(K40&gt;12050000,K40&lt;=12950000),3,IF(AND(K40&gt;12950000,K40&lt;=14150000),4,IF(AND(K40&gt;14150000,K40&lt;=15550000),5,IF(AND(K40&gt;15550000,K40&lt;=17050000),6,IF(AND(K40&gt;17050000,K40&lt;=19500000),7,IF(AND(K40&gt;19500000,K40&lt;=22700000),8,IF(AND(K40&gt;22700000,K40&lt;=26600000),9,IF(AND(K40&gt;26600000,K40&lt;=28100000),10,IF(AND(K40&gt;28100000,K40&lt;=30100000),11,IF(AND(K40&gt;30100000,K40&lt;=32600000),12,IF(AND(K40&gt;32600000,K40&lt;=35400000),13,IF(AND(K40&gt;35400000,K40&lt;=38900000),14,IF(AND(K40&gt;38900000,K40&lt;=43000000),15,IF(AND(K40&gt;43000000,K40&lt;=47400000),16,IF(AND(K40&gt;47400000,K40&lt;=51200000),17,IF(AND(K40&gt;51200000,K40&lt;=55800000),18,IF(AND(K40&gt;55800000,K40&lt;=60400000),19,IF(AND(K40&gt;60400000,K40&lt;=66700000),20,IF(AND(K40&gt;66700000,K40&lt;=74500000),21,IF(AND(K40&gt;74500000,K40&lt;=83200000),22,IF(AND(K40&gt;83200000,K40&lt;=95600000),23,IF(AND(K40&gt;95600000,K40&lt;=110000000),24,IF(AND(K40&gt;110000000,K40&lt;=134000000),25,IF(AND(K40&gt;134000000,K40&lt;=169000000),26,IF(AND(K40&gt;169000000,K40&lt;=221000000),27,IF(AND(K40&gt;221000000,K40&lt;=390000000),28,IF(AND(K40&gt;390000000,K40&lt;=463000000),29,IF(AND(K40&gt;463000000,K40&lt;=561000000),30,IF(AND(K40&gt;561000000,K40&lt;=709000000),31,IF(AND(K40&gt;709000000,K40&lt;=965000000),32,IF(AND(K40&gt;965000000,K40&lt;=1419000000),33,34))))))))))))))))))))))))))))))))))))))))</f>
        <v>0</v>
      </c>
      <c r="S40" s="10"/>
      <c r="T40" s="10"/>
    </row>
    <row r="41" spans="1:21">
      <c r="D41" s="1"/>
      <c r="E41" s="1"/>
      <c r="G41" s="1"/>
      <c r="H41" s="1"/>
      <c r="I41" s="1"/>
      <c r="J41" s="1"/>
      <c r="L41">
        <f>IF(OR(G41="TK/0",G41="TK/1",G41="K/0",G41="HB/0",G41="HB/1"),P41,IF(OR(G41="TK/2",G41="TK/3",G41="K/1",G41="K/2",G41="HB/2",G41="HB/3"),Q41,R41))</f>
        <v>0</v>
      </c>
      <c r="M41" s="1"/>
      <c r="N41" s="2"/>
      <c r="P41" s="10">
        <f>IF(K41&lt;=5400000,0,IF(AND(K41&gt;5400000,K41&lt;=5650000),0.25,IF(AND(K41&gt;5650000,K41&lt;=5950000),0.5,IF(AND(K41&gt;5950000,K41&lt;=6300000),0.75,IF(AND(K41&gt;6300000,K41&lt;=6750000),1,IF(AND(K41&gt;6750000,K41&lt;=7500000),1.25,IF(AND(K41&gt;7500000,K41&lt;=8550000),1.5,IF(AND(K41&gt;8550000,K41&lt;=9650000),1.75,IF(AND(K41&gt;9650000,K41&lt;=10050000),2,IF(AND(K41&gt;10050000,K41&lt;=10350000),2.25,IF(AND(K41&gt;10350000,K41&lt;=10700000),2.5,IF(AND(K41&gt;10700000,K41&lt;=11050000),3,IF(AND(K41&gt;11050000,K41&lt;=11600000),3.5,IF(AND(K41&gt;11600000,K41&lt;=12500000),4,IF(AND(K41&gt;12500000,K41&lt;=13750000),5,IF(AND(K41&gt;13750000,K41&lt;=15100000),6,IF(AND(K41&gt;15100000,K41&lt;=16950000),7,IF(AND(K41&gt;16950000,K41&lt;=19750000),8,IF(AND(K41&gt;19750000,K41&lt;=24150000),9,IF(AND(K41&gt;24150000,K41&lt;=26450000),10,IF(AND(K41&gt;26450000,K41&lt;=28000000),11,IF(AND(K41&gt;28000000,K41&lt;=30050000),12,IF(AND(K41&gt;30050000,K41&lt;=32400000),13,IF(AND(K41&gt;32400000,K41&lt;=35400000),14,IF(AND(K41&gt;35400000,K41&lt;=39100000),15,IF(AND(K41&gt;39100000,K41&lt;=43850000),16,IF(AND(K41&gt;43850000,K41&lt;=47800000),17,IF(AND(K41&gt;47800000,K41&lt;=51400000),18,IF(AND(K41&gt;51400000,K41&lt;=56300000),19,IF(AND(K41&gt;56300000,K41&lt;=62200000),20,IF(AND(K41&gt;62200000,K41&lt;=68600000),21,IF(AND(K41&gt;68600000,K41&lt;=77500000),22,IF(AND(K41&gt;77500000,K41&lt;=89000000),23,IF(AND(K41&gt;89000000,K41&lt;=103000000),24,IF(AND(K41&gt;103000000,K41&lt;=125000000),25,IF(AND(K41&gt;125000000,K41&lt;=157000000),26,IF(AND(K41&gt;157000000,K41&lt;=206000000),27,IF(AND(K41&gt;206000000,K41&lt;=337000000),28,IF(AND(K41&gt;337000000,K41&lt;=454000000),29,IF(AND(K41&gt;454000000,K41&lt;=550000000),30,IF(AND(K41&gt;550000000,K41&lt;=695000000),31,IF(AND(K41&gt;695000000,K41&lt;=910000000),32,IF(AND(K41&gt;910000000,K41&lt;=1400000000),33,34)))))))))))))))))))))))))))))))))))))))))))</f>
        <v>0</v>
      </c>
      <c r="Q41" s="10">
        <f>IF(K41&lt;=6200000,0,IF(AND(K41&gt;6200000,K41&lt;=6500000),0.25,IF(AND(K41&gt;6500000,K41&lt;=6850000),0.5,IF(AND(K41&gt;6850000,K41&lt;=7300000),0.75,IF(AND(K41&gt;7300000,K41&lt;=9200000),1,IF(AND(K41&gt;9200000,K41&lt;=10750000),1.5,IF(AND(K41&gt;10750000,K41&lt;=11250000),2,IF(AND(K41&gt;11250000,K41&lt;=11600000),2.5,IF(AND(K41&gt;11600000,K41&lt;=12600000),3,IF(AND(K41&gt;12600000,K41&lt;=13600000),4,IF(AND(K41&gt;13600000,K41&lt;=14950000),5,IF(AND(K41&gt;14950000,K41&lt;=16400000),6,IF(AND(K41&gt;16400000,K41&lt;=18450000),7,IF(AND(K41&gt;18450000,K41&lt;=21850000),8,IF(AND(K41&gt;21850000,K41&lt;=26000000),9,IF(AND(K41&gt;26000000,K41&lt;=27700000),10,IF(AND(K41&gt;27700000,K41&lt;=29350000),11,IF(AND(K41&gt;29350000,K41&lt;=31450000),12,IF(AND(K41&gt;31450000,K41&lt;=33950000),13,IF(AND(K41&gt;33950000,K41&lt;=37100000),14,IF(AND(K41&gt;37100000,K41&lt;=41100000),15,IF(AND(K41&gt;41100000,K41&lt;=45800000),16,IF(AND(K41&gt;45800000,K41&lt;=49500000),17,IF(AND(K41&gt;49500000,K41&lt;=53800000),18,IF(AND(K41&gt;53800000,K41&lt;=58500000),19,IF(AND(K41&gt;58500000,K41&lt;=64000000),20,IF(AND(K41&gt;64000000,K41&lt;=71000000),21,IF(AND(K41&gt;71000000,K41&lt;=80000000),22,IF(AND(K41&gt;80000000,K41&lt;=93000000),23,IF(AND(K41&gt;93000000,K41&lt;=109000000),24,IF(AND(K41&gt;109000000,K41&lt;=129000000),25,IF(AND(K41&gt;129000000,K41&lt;=163000000),26,IF(AND(K41&gt;163000000,K41&lt;=211000000),27,IF(AND(K41&gt;211000000,K41&lt;=374000000),28,IF(AND(K41&gt;374000000,K41&lt;=459000000),29,IF(AND(K41&gt;459000000,K41&lt;=555000000),30,IF(AND(K41&gt;555000000,K41&lt;=704000000),31,IF(AND(K41&gt;704000000,K41&lt;=957000000),32,IF(AND(K41&gt;957000000,K41&lt;=1405000000),33,34)))))))))))))))))))))))))))))))))))))))</f>
        <v>0</v>
      </c>
      <c r="R41" s="10">
        <f>IF(K41&lt;=6600000,0,IF(AND(K41&gt;6600000,K41&lt;=6950000),0.25,IF(AND(K41&gt;6950000,K41&lt;=7350000),0.5,IF(AND(K41&gt;7350000,K41&lt;=7800000),0.75,IF(AND(K41&gt;7800000,K41&lt;=8850000),1,IF(AND(K41&gt;8850000,K41&lt;=9800000),1.25,IF(AND(K41&gt;9800000,K41&lt;=10950000),1.5,IF(AND(K41&gt;10950000,K41&lt;=11200000),1.75,IF(AND(K41&gt;11200000,K41&lt;=12050000),2,IF(AND(K41&gt;12050000,K41&lt;=12950000),3,IF(AND(K41&gt;12950000,K41&lt;=14150000),4,IF(AND(K41&gt;14150000,K41&lt;=15550000),5,IF(AND(K41&gt;15550000,K41&lt;=17050000),6,IF(AND(K41&gt;17050000,K41&lt;=19500000),7,IF(AND(K41&gt;19500000,K41&lt;=22700000),8,IF(AND(K41&gt;22700000,K41&lt;=26600000),9,IF(AND(K41&gt;26600000,K41&lt;=28100000),10,IF(AND(K41&gt;28100000,K41&lt;=30100000),11,IF(AND(K41&gt;30100000,K41&lt;=32600000),12,IF(AND(K41&gt;32600000,K41&lt;=35400000),13,IF(AND(K41&gt;35400000,K41&lt;=38900000),14,IF(AND(K41&gt;38900000,K41&lt;=43000000),15,IF(AND(K41&gt;43000000,K41&lt;=47400000),16,IF(AND(K41&gt;47400000,K41&lt;=51200000),17,IF(AND(K41&gt;51200000,K41&lt;=55800000),18,IF(AND(K41&gt;55800000,K41&lt;=60400000),19,IF(AND(K41&gt;60400000,K41&lt;=66700000),20,IF(AND(K41&gt;66700000,K41&lt;=74500000),21,IF(AND(K41&gt;74500000,K41&lt;=83200000),22,IF(AND(K41&gt;83200000,K41&lt;=95600000),23,IF(AND(K41&gt;95600000,K41&lt;=110000000),24,IF(AND(K41&gt;110000000,K41&lt;=134000000),25,IF(AND(K41&gt;134000000,K41&lt;=169000000),26,IF(AND(K41&gt;169000000,K41&lt;=221000000),27,IF(AND(K41&gt;221000000,K41&lt;=390000000),28,IF(AND(K41&gt;390000000,K41&lt;=463000000),29,IF(AND(K41&gt;463000000,K41&lt;=561000000),30,IF(AND(K41&gt;561000000,K41&lt;=709000000),31,IF(AND(K41&gt;709000000,K41&lt;=965000000),32,IF(AND(K41&gt;965000000,K41&lt;=1419000000),33,34))))))))))))))))))))))))))))))))))))))))</f>
        <v>0</v>
      </c>
      <c r="S41" s="10"/>
      <c r="T41" s="10"/>
    </row>
    <row r="42" spans="1:21">
      <c r="D42" s="1"/>
      <c r="E42" s="1"/>
      <c r="G42" s="1"/>
      <c r="H42" s="1"/>
      <c r="I42" s="1"/>
      <c r="J42" s="1"/>
      <c r="L42">
        <f>IF(OR(G42="TK/0",G42="TK/1",G42="K/0",G42="HB/0",G42="HB/1"),P42,IF(OR(G42="TK/2",G42="TK/3",G42="K/1",G42="K/2",G42="HB/2",G42="HB/3"),Q42,R42))</f>
        <v>0</v>
      </c>
      <c r="M42" s="1"/>
      <c r="N42" s="2"/>
      <c r="P42" s="10">
        <f>IF(K42&lt;=5400000,0,IF(AND(K42&gt;5400000,K42&lt;=5650000),0.25,IF(AND(K42&gt;5650000,K42&lt;=5950000),0.5,IF(AND(K42&gt;5950000,K42&lt;=6300000),0.75,IF(AND(K42&gt;6300000,K42&lt;=6750000),1,IF(AND(K42&gt;6750000,K42&lt;=7500000),1.25,IF(AND(K42&gt;7500000,K42&lt;=8550000),1.5,IF(AND(K42&gt;8550000,K42&lt;=9650000),1.75,IF(AND(K42&gt;9650000,K42&lt;=10050000),2,IF(AND(K42&gt;10050000,K42&lt;=10350000),2.25,IF(AND(K42&gt;10350000,K42&lt;=10700000),2.5,IF(AND(K42&gt;10700000,K42&lt;=11050000),3,IF(AND(K42&gt;11050000,K42&lt;=11600000),3.5,IF(AND(K42&gt;11600000,K42&lt;=12500000),4,IF(AND(K42&gt;12500000,K42&lt;=13750000),5,IF(AND(K42&gt;13750000,K42&lt;=15100000),6,IF(AND(K42&gt;15100000,K42&lt;=16950000),7,IF(AND(K42&gt;16950000,K42&lt;=19750000),8,IF(AND(K42&gt;19750000,K42&lt;=24150000),9,IF(AND(K42&gt;24150000,K42&lt;=26450000),10,IF(AND(K42&gt;26450000,K42&lt;=28000000),11,IF(AND(K42&gt;28000000,K42&lt;=30050000),12,IF(AND(K42&gt;30050000,K42&lt;=32400000),13,IF(AND(K42&gt;32400000,K42&lt;=35400000),14,IF(AND(K42&gt;35400000,K42&lt;=39100000),15,IF(AND(K42&gt;39100000,K42&lt;=43850000),16,IF(AND(K42&gt;43850000,K42&lt;=47800000),17,IF(AND(K42&gt;47800000,K42&lt;=51400000),18,IF(AND(K42&gt;51400000,K42&lt;=56300000),19,IF(AND(K42&gt;56300000,K42&lt;=62200000),20,IF(AND(K42&gt;62200000,K42&lt;=68600000),21,IF(AND(K42&gt;68600000,K42&lt;=77500000),22,IF(AND(K42&gt;77500000,K42&lt;=89000000),23,IF(AND(K42&gt;89000000,K42&lt;=103000000),24,IF(AND(K42&gt;103000000,K42&lt;=125000000),25,IF(AND(K42&gt;125000000,K42&lt;=157000000),26,IF(AND(K42&gt;157000000,K42&lt;=206000000),27,IF(AND(K42&gt;206000000,K42&lt;=337000000),28,IF(AND(K42&gt;337000000,K42&lt;=454000000),29,IF(AND(K42&gt;454000000,K42&lt;=550000000),30,IF(AND(K42&gt;550000000,K42&lt;=695000000),31,IF(AND(K42&gt;695000000,K42&lt;=910000000),32,IF(AND(K42&gt;910000000,K42&lt;=1400000000),33,34)))))))))))))))))))))))))))))))))))))))))))</f>
        <v>0</v>
      </c>
      <c r="Q42" s="10">
        <f>IF(K42&lt;=6200000,0,IF(AND(K42&gt;6200000,K42&lt;=6500000),0.25,IF(AND(K42&gt;6500000,K42&lt;=6850000),0.5,IF(AND(K42&gt;6850000,K42&lt;=7300000),0.75,IF(AND(K42&gt;7300000,K42&lt;=9200000),1,IF(AND(K42&gt;9200000,K42&lt;=10750000),1.5,IF(AND(K42&gt;10750000,K42&lt;=11250000),2,IF(AND(K42&gt;11250000,K42&lt;=11600000),2.5,IF(AND(K42&gt;11600000,K42&lt;=12600000),3,IF(AND(K42&gt;12600000,K42&lt;=13600000),4,IF(AND(K42&gt;13600000,K42&lt;=14950000),5,IF(AND(K42&gt;14950000,K42&lt;=16400000),6,IF(AND(K42&gt;16400000,K42&lt;=18450000),7,IF(AND(K42&gt;18450000,K42&lt;=21850000),8,IF(AND(K42&gt;21850000,K42&lt;=26000000),9,IF(AND(K42&gt;26000000,K42&lt;=27700000),10,IF(AND(K42&gt;27700000,K42&lt;=29350000),11,IF(AND(K42&gt;29350000,K42&lt;=31450000),12,IF(AND(K42&gt;31450000,K42&lt;=33950000),13,IF(AND(K42&gt;33950000,K42&lt;=37100000),14,IF(AND(K42&gt;37100000,K42&lt;=41100000),15,IF(AND(K42&gt;41100000,K42&lt;=45800000),16,IF(AND(K42&gt;45800000,K42&lt;=49500000),17,IF(AND(K42&gt;49500000,K42&lt;=53800000),18,IF(AND(K42&gt;53800000,K42&lt;=58500000),19,IF(AND(K42&gt;58500000,K42&lt;=64000000),20,IF(AND(K42&gt;64000000,K42&lt;=71000000),21,IF(AND(K42&gt;71000000,K42&lt;=80000000),22,IF(AND(K42&gt;80000000,K42&lt;=93000000),23,IF(AND(K42&gt;93000000,K42&lt;=109000000),24,IF(AND(K42&gt;109000000,K42&lt;=129000000),25,IF(AND(K42&gt;129000000,K42&lt;=163000000),26,IF(AND(K42&gt;163000000,K42&lt;=211000000),27,IF(AND(K42&gt;211000000,K42&lt;=374000000),28,IF(AND(K42&gt;374000000,K42&lt;=459000000),29,IF(AND(K42&gt;459000000,K42&lt;=555000000),30,IF(AND(K42&gt;555000000,K42&lt;=704000000),31,IF(AND(K42&gt;704000000,K42&lt;=957000000),32,IF(AND(K42&gt;957000000,K42&lt;=1405000000),33,34)))))))))))))))))))))))))))))))))))))))</f>
        <v>0</v>
      </c>
      <c r="R42" s="10">
        <f>IF(K42&lt;=6600000,0,IF(AND(K42&gt;6600000,K42&lt;=6950000),0.25,IF(AND(K42&gt;6950000,K42&lt;=7350000),0.5,IF(AND(K42&gt;7350000,K42&lt;=7800000),0.75,IF(AND(K42&gt;7800000,K42&lt;=8850000),1,IF(AND(K42&gt;8850000,K42&lt;=9800000),1.25,IF(AND(K42&gt;9800000,K42&lt;=10950000),1.5,IF(AND(K42&gt;10950000,K42&lt;=11200000),1.75,IF(AND(K42&gt;11200000,K42&lt;=12050000),2,IF(AND(K42&gt;12050000,K42&lt;=12950000),3,IF(AND(K42&gt;12950000,K42&lt;=14150000),4,IF(AND(K42&gt;14150000,K42&lt;=15550000),5,IF(AND(K42&gt;15550000,K42&lt;=17050000),6,IF(AND(K42&gt;17050000,K42&lt;=19500000),7,IF(AND(K42&gt;19500000,K42&lt;=22700000),8,IF(AND(K42&gt;22700000,K42&lt;=26600000),9,IF(AND(K42&gt;26600000,K42&lt;=28100000),10,IF(AND(K42&gt;28100000,K42&lt;=30100000),11,IF(AND(K42&gt;30100000,K42&lt;=32600000),12,IF(AND(K42&gt;32600000,K42&lt;=35400000),13,IF(AND(K42&gt;35400000,K42&lt;=38900000),14,IF(AND(K42&gt;38900000,K42&lt;=43000000),15,IF(AND(K42&gt;43000000,K42&lt;=47400000),16,IF(AND(K42&gt;47400000,K42&lt;=51200000),17,IF(AND(K42&gt;51200000,K42&lt;=55800000),18,IF(AND(K42&gt;55800000,K42&lt;=60400000),19,IF(AND(K42&gt;60400000,K42&lt;=66700000),20,IF(AND(K42&gt;66700000,K42&lt;=74500000),21,IF(AND(K42&gt;74500000,K42&lt;=83200000),22,IF(AND(K42&gt;83200000,K42&lt;=95600000),23,IF(AND(K42&gt;95600000,K42&lt;=110000000),24,IF(AND(K42&gt;110000000,K42&lt;=134000000),25,IF(AND(K42&gt;134000000,K42&lt;=169000000),26,IF(AND(K42&gt;169000000,K42&lt;=221000000),27,IF(AND(K42&gt;221000000,K42&lt;=390000000),28,IF(AND(K42&gt;390000000,K42&lt;=463000000),29,IF(AND(K42&gt;463000000,K42&lt;=561000000),30,IF(AND(K42&gt;561000000,K42&lt;=709000000),31,IF(AND(K42&gt;709000000,K42&lt;=965000000),32,IF(AND(K42&gt;965000000,K42&lt;=1419000000),33,34))))))))))))))))))))))))))))))))))))))))</f>
        <v>0</v>
      </c>
      <c r="S42" s="10"/>
      <c r="T42" s="10"/>
    </row>
    <row r="43" spans="1:21">
      <c r="D43" s="1"/>
      <c r="E43" s="1"/>
      <c r="G43" s="1"/>
      <c r="H43" s="1"/>
      <c r="I43" s="1"/>
      <c r="J43" s="1"/>
      <c r="L43">
        <f>IF(OR(G43="TK/0",G43="TK/1",G43="K/0",G43="HB/0",G43="HB/1"),P43,IF(OR(G43="TK/2",G43="TK/3",G43="K/1",G43="K/2",G43="HB/2",G43="HB/3"),Q43,R43))</f>
        <v>0</v>
      </c>
      <c r="M43" s="1"/>
      <c r="N43" s="2"/>
      <c r="P43" s="10">
        <f>IF(K43&lt;=5400000,0,IF(AND(K43&gt;5400000,K43&lt;=5650000),0.25,IF(AND(K43&gt;5650000,K43&lt;=5950000),0.5,IF(AND(K43&gt;5950000,K43&lt;=6300000),0.75,IF(AND(K43&gt;6300000,K43&lt;=6750000),1,IF(AND(K43&gt;6750000,K43&lt;=7500000),1.25,IF(AND(K43&gt;7500000,K43&lt;=8550000),1.5,IF(AND(K43&gt;8550000,K43&lt;=9650000),1.75,IF(AND(K43&gt;9650000,K43&lt;=10050000),2,IF(AND(K43&gt;10050000,K43&lt;=10350000),2.25,IF(AND(K43&gt;10350000,K43&lt;=10700000),2.5,IF(AND(K43&gt;10700000,K43&lt;=11050000),3,IF(AND(K43&gt;11050000,K43&lt;=11600000),3.5,IF(AND(K43&gt;11600000,K43&lt;=12500000),4,IF(AND(K43&gt;12500000,K43&lt;=13750000),5,IF(AND(K43&gt;13750000,K43&lt;=15100000),6,IF(AND(K43&gt;15100000,K43&lt;=16950000),7,IF(AND(K43&gt;16950000,K43&lt;=19750000),8,IF(AND(K43&gt;19750000,K43&lt;=24150000),9,IF(AND(K43&gt;24150000,K43&lt;=26450000),10,IF(AND(K43&gt;26450000,K43&lt;=28000000),11,IF(AND(K43&gt;28000000,K43&lt;=30050000),12,IF(AND(K43&gt;30050000,K43&lt;=32400000),13,IF(AND(K43&gt;32400000,K43&lt;=35400000),14,IF(AND(K43&gt;35400000,K43&lt;=39100000),15,IF(AND(K43&gt;39100000,K43&lt;=43850000),16,IF(AND(K43&gt;43850000,K43&lt;=47800000),17,IF(AND(K43&gt;47800000,K43&lt;=51400000),18,IF(AND(K43&gt;51400000,K43&lt;=56300000),19,IF(AND(K43&gt;56300000,K43&lt;=62200000),20,IF(AND(K43&gt;62200000,K43&lt;=68600000),21,IF(AND(K43&gt;68600000,K43&lt;=77500000),22,IF(AND(K43&gt;77500000,K43&lt;=89000000),23,IF(AND(K43&gt;89000000,K43&lt;=103000000),24,IF(AND(K43&gt;103000000,K43&lt;=125000000),25,IF(AND(K43&gt;125000000,K43&lt;=157000000),26,IF(AND(K43&gt;157000000,K43&lt;=206000000),27,IF(AND(K43&gt;206000000,K43&lt;=337000000),28,IF(AND(K43&gt;337000000,K43&lt;=454000000),29,IF(AND(K43&gt;454000000,K43&lt;=550000000),30,IF(AND(K43&gt;550000000,K43&lt;=695000000),31,IF(AND(K43&gt;695000000,K43&lt;=910000000),32,IF(AND(K43&gt;910000000,K43&lt;=1400000000),33,34)))))))))))))))))))))))))))))))))))))))))))</f>
        <v>0</v>
      </c>
      <c r="Q43" s="10">
        <f>IF(K43&lt;=6200000,0,IF(AND(K43&gt;6200000,K43&lt;=6500000),0.25,IF(AND(K43&gt;6500000,K43&lt;=6850000),0.5,IF(AND(K43&gt;6850000,K43&lt;=7300000),0.75,IF(AND(K43&gt;7300000,K43&lt;=9200000),1,IF(AND(K43&gt;9200000,K43&lt;=10750000),1.5,IF(AND(K43&gt;10750000,K43&lt;=11250000),2,IF(AND(K43&gt;11250000,K43&lt;=11600000),2.5,IF(AND(K43&gt;11600000,K43&lt;=12600000),3,IF(AND(K43&gt;12600000,K43&lt;=13600000),4,IF(AND(K43&gt;13600000,K43&lt;=14950000),5,IF(AND(K43&gt;14950000,K43&lt;=16400000),6,IF(AND(K43&gt;16400000,K43&lt;=18450000),7,IF(AND(K43&gt;18450000,K43&lt;=21850000),8,IF(AND(K43&gt;21850000,K43&lt;=26000000),9,IF(AND(K43&gt;26000000,K43&lt;=27700000),10,IF(AND(K43&gt;27700000,K43&lt;=29350000),11,IF(AND(K43&gt;29350000,K43&lt;=31450000),12,IF(AND(K43&gt;31450000,K43&lt;=33950000),13,IF(AND(K43&gt;33950000,K43&lt;=37100000),14,IF(AND(K43&gt;37100000,K43&lt;=41100000),15,IF(AND(K43&gt;41100000,K43&lt;=45800000),16,IF(AND(K43&gt;45800000,K43&lt;=49500000),17,IF(AND(K43&gt;49500000,K43&lt;=53800000),18,IF(AND(K43&gt;53800000,K43&lt;=58500000),19,IF(AND(K43&gt;58500000,K43&lt;=64000000),20,IF(AND(K43&gt;64000000,K43&lt;=71000000),21,IF(AND(K43&gt;71000000,K43&lt;=80000000),22,IF(AND(K43&gt;80000000,K43&lt;=93000000),23,IF(AND(K43&gt;93000000,K43&lt;=109000000),24,IF(AND(K43&gt;109000000,K43&lt;=129000000),25,IF(AND(K43&gt;129000000,K43&lt;=163000000),26,IF(AND(K43&gt;163000000,K43&lt;=211000000),27,IF(AND(K43&gt;211000000,K43&lt;=374000000),28,IF(AND(K43&gt;374000000,K43&lt;=459000000),29,IF(AND(K43&gt;459000000,K43&lt;=555000000),30,IF(AND(K43&gt;555000000,K43&lt;=704000000),31,IF(AND(K43&gt;704000000,K43&lt;=957000000),32,IF(AND(K43&gt;957000000,K43&lt;=1405000000),33,34)))))))))))))))))))))))))))))))))))))))</f>
        <v>0</v>
      </c>
      <c r="R43" s="10">
        <f>IF(K43&lt;=6600000,0,IF(AND(K43&gt;6600000,K43&lt;=6950000),0.25,IF(AND(K43&gt;6950000,K43&lt;=7350000),0.5,IF(AND(K43&gt;7350000,K43&lt;=7800000),0.75,IF(AND(K43&gt;7800000,K43&lt;=8850000),1,IF(AND(K43&gt;8850000,K43&lt;=9800000),1.25,IF(AND(K43&gt;9800000,K43&lt;=10950000),1.5,IF(AND(K43&gt;10950000,K43&lt;=11200000),1.75,IF(AND(K43&gt;11200000,K43&lt;=12050000),2,IF(AND(K43&gt;12050000,K43&lt;=12950000),3,IF(AND(K43&gt;12950000,K43&lt;=14150000),4,IF(AND(K43&gt;14150000,K43&lt;=15550000),5,IF(AND(K43&gt;15550000,K43&lt;=17050000),6,IF(AND(K43&gt;17050000,K43&lt;=19500000),7,IF(AND(K43&gt;19500000,K43&lt;=22700000),8,IF(AND(K43&gt;22700000,K43&lt;=26600000),9,IF(AND(K43&gt;26600000,K43&lt;=28100000),10,IF(AND(K43&gt;28100000,K43&lt;=30100000),11,IF(AND(K43&gt;30100000,K43&lt;=32600000),12,IF(AND(K43&gt;32600000,K43&lt;=35400000),13,IF(AND(K43&gt;35400000,K43&lt;=38900000),14,IF(AND(K43&gt;38900000,K43&lt;=43000000),15,IF(AND(K43&gt;43000000,K43&lt;=47400000),16,IF(AND(K43&gt;47400000,K43&lt;=51200000),17,IF(AND(K43&gt;51200000,K43&lt;=55800000),18,IF(AND(K43&gt;55800000,K43&lt;=60400000),19,IF(AND(K43&gt;60400000,K43&lt;=66700000),20,IF(AND(K43&gt;66700000,K43&lt;=74500000),21,IF(AND(K43&gt;74500000,K43&lt;=83200000),22,IF(AND(K43&gt;83200000,K43&lt;=95600000),23,IF(AND(K43&gt;95600000,K43&lt;=110000000),24,IF(AND(K43&gt;110000000,K43&lt;=134000000),25,IF(AND(K43&gt;134000000,K43&lt;=169000000),26,IF(AND(K43&gt;169000000,K43&lt;=221000000),27,IF(AND(K43&gt;221000000,K43&lt;=390000000),28,IF(AND(K43&gt;390000000,K43&lt;=463000000),29,IF(AND(K43&gt;463000000,K43&lt;=561000000),30,IF(AND(K43&gt;561000000,K43&lt;=709000000),31,IF(AND(K43&gt;709000000,K43&lt;=965000000),32,IF(AND(K43&gt;965000000,K43&lt;=1419000000),33,34))))))))))))))))))))))))))))))))))))))))</f>
        <v>0</v>
      </c>
      <c r="S43" s="10"/>
      <c r="T43" s="10"/>
    </row>
    <row r="44" spans="1:21">
      <c r="D44" s="1"/>
      <c r="E44" s="1"/>
      <c r="G44" s="1"/>
      <c r="H44" s="1"/>
      <c r="I44" s="1"/>
      <c r="J44" s="1"/>
      <c r="L44">
        <f>IF(OR(G44="TK/0",G44="TK/1",G44="K/0",G44="HB/0",G44="HB/1"),P44,IF(OR(G44="TK/2",G44="TK/3",G44="K/1",G44="K/2",G44="HB/2",G44="HB/3"),Q44,R44))</f>
        <v>0</v>
      </c>
      <c r="M44" s="1"/>
      <c r="N44" s="2"/>
      <c r="P44" s="10">
        <f>IF(K44&lt;=5400000,0,IF(AND(K44&gt;5400000,K44&lt;=5650000),0.25,IF(AND(K44&gt;5650000,K44&lt;=5950000),0.5,IF(AND(K44&gt;5950000,K44&lt;=6300000),0.75,IF(AND(K44&gt;6300000,K44&lt;=6750000),1,IF(AND(K44&gt;6750000,K44&lt;=7500000),1.25,IF(AND(K44&gt;7500000,K44&lt;=8550000),1.5,IF(AND(K44&gt;8550000,K44&lt;=9650000),1.75,IF(AND(K44&gt;9650000,K44&lt;=10050000),2,IF(AND(K44&gt;10050000,K44&lt;=10350000),2.25,IF(AND(K44&gt;10350000,K44&lt;=10700000),2.5,IF(AND(K44&gt;10700000,K44&lt;=11050000),3,IF(AND(K44&gt;11050000,K44&lt;=11600000),3.5,IF(AND(K44&gt;11600000,K44&lt;=12500000),4,IF(AND(K44&gt;12500000,K44&lt;=13750000),5,IF(AND(K44&gt;13750000,K44&lt;=15100000),6,IF(AND(K44&gt;15100000,K44&lt;=16950000),7,IF(AND(K44&gt;16950000,K44&lt;=19750000),8,IF(AND(K44&gt;19750000,K44&lt;=24150000),9,IF(AND(K44&gt;24150000,K44&lt;=26450000),10,IF(AND(K44&gt;26450000,K44&lt;=28000000),11,IF(AND(K44&gt;28000000,K44&lt;=30050000),12,IF(AND(K44&gt;30050000,K44&lt;=32400000),13,IF(AND(K44&gt;32400000,K44&lt;=35400000),14,IF(AND(K44&gt;35400000,K44&lt;=39100000),15,IF(AND(K44&gt;39100000,K44&lt;=43850000),16,IF(AND(K44&gt;43850000,K44&lt;=47800000),17,IF(AND(K44&gt;47800000,K44&lt;=51400000),18,IF(AND(K44&gt;51400000,K44&lt;=56300000),19,IF(AND(K44&gt;56300000,K44&lt;=62200000),20,IF(AND(K44&gt;62200000,K44&lt;=68600000),21,IF(AND(K44&gt;68600000,K44&lt;=77500000),22,IF(AND(K44&gt;77500000,K44&lt;=89000000),23,IF(AND(K44&gt;89000000,K44&lt;=103000000),24,IF(AND(K44&gt;103000000,K44&lt;=125000000),25,IF(AND(K44&gt;125000000,K44&lt;=157000000),26,IF(AND(K44&gt;157000000,K44&lt;=206000000),27,IF(AND(K44&gt;206000000,K44&lt;=337000000),28,IF(AND(K44&gt;337000000,K44&lt;=454000000),29,IF(AND(K44&gt;454000000,K44&lt;=550000000),30,IF(AND(K44&gt;550000000,K44&lt;=695000000),31,IF(AND(K44&gt;695000000,K44&lt;=910000000),32,IF(AND(K44&gt;910000000,K44&lt;=1400000000),33,34)))))))))))))))))))))))))))))))))))))))))))</f>
        <v>0</v>
      </c>
      <c r="Q44" s="10">
        <f>IF(K44&lt;=6200000,0,IF(AND(K44&gt;6200000,K44&lt;=6500000),0.25,IF(AND(K44&gt;6500000,K44&lt;=6850000),0.5,IF(AND(K44&gt;6850000,K44&lt;=7300000),0.75,IF(AND(K44&gt;7300000,K44&lt;=9200000),1,IF(AND(K44&gt;9200000,K44&lt;=10750000),1.5,IF(AND(K44&gt;10750000,K44&lt;=11250000),2,IF(AND(K44&gt;11250000,K44&lt;=11600000),2.5,IF(AND(K44&gt;11600000,K44&lt;=12600000),3,IF(AND(K44&gt;12600000,K44&lt;=13600000),4,IF(AND(K44&gt;13600000,K44&lt;=14950000),5,IF(AND(K44&gt;14950000,K44&lt;=16400000),6,IF(AND(K44&gt;16400000,K44&lt;=18450000),7,IF(AND(K44&gt;18450000,K44&lt;=21850000),8,IF(AND(K44&gt;21850000,K44&lt;=26000000),9,IF(AND(K44&gt;26000000,K44&lt;=27700000),10,IF(AND(K44&gt;27700000,K44&lt;=29350000),11,IF(AND(K44&gt;29350000,K44&lt;=31450000),12,IF(AND(K44&gt;31450000,K44&lt;=33950000),13,IF(AND(K44&gt;33950000,K44&lt;=37100000),14,IF(AND(K44&gt;37100000,K44&lt;=41100000),15,IF(AND(K44&gt;41100000,K44&lt;=45800000),16,IF(AND(K44&gt;45800000,K44&lt;=49500000),17,IF(AND(K44&gt;49500000,K44&lt;=53800000),18,IF(AND(K44&gt;53800000,K44&lt;=58500000),19,IF(AND(K44&gt;58500000,K44&lt;=64000000),20,IF(AND(K44&gt;64000000,K44&lt;=71000000),21,IF(AND(K44&gt;71000000,K44&lt;=80000000),22,IF(AND(K44&gt;80000000,K44&lt;=93000000),23,IF(AND(K44&gt;93000000,K44&lt;=109000000),24,IF(AND(K44&gt;109000000,K44&lt;=129000000),25,IF(AND(K44&gt;129000000,K44&lt;=163000000),26,IF(AND(K44&gt;163000000,K44&lt;=211000000),27,IF(AND(K44&gt;211000000,K44&lt;=374000000),28,IF(AND(K44&gt;374000000,K44&lt;=459000000),29,IF(AND(K44&gt;459000000,K44&lt;=555000000),30,IF(AND(K44&gt;555000000,K44&lt;=704000000),31,IF(AND(K44&gt;704000000,K44&lt;=957000000),32,IF(AND(K44&gt;957000000,K44&lt;=1405000000),33,34)))))))))))))))))))))))))))))))))))))))</f>
        <v>0</v>
      </c>
      <c r="R44" s="10">
        <f>IF(K44&lt;=6600000,0,IF(AND(K44&gt;6600000,K44&lt;=6950000),0.25,IF(AND(K44&gt;6950000,K44&lt;=7350000),0.5,IF(AND(K44&gt;7350000,K44&lt;=7800000),0.75,IF(AND(K44&gt;7800000,K44&lt;=8850000),1,IF(AND(K44&gt;8850000,K44&lt;=9800000),1.25,IF(AND(K44&gt;9800000,K44&lt;=10950000),1.5,IF(AND(K44&gt;10950000,K44&lt;=11200000),1.75,IF(AND(K44&gt;11200000,K44&lt;=12050000),2,IF(AND(K44&gt;12050000,K44&lt;=12950000),3,IF(AND(K44&gt;12950000,K44&lt;=14150000),4,IF(AND(K44&gt;14150000,K44&lt;=15550000),5,IF(AND(K44&gt;15550000,K44&lt;=17050000),6,IF(AND(K44&gt;17050000,K44&lt;=19500000),7,IF(AND(K44&gt;19500000,K44&lt;=22700000),8,IF(AND(K44&gt;22700000,K44&lt;=26600000),9,IF(AND(K44&gt;26600000,K44&lt;=28100000),10,IF(AND(K44&gt;28100000,K44&lt;=30100000),11,IF(AND(K44&gt;30100000,K44&lt;=32600000),12,IF(AND(K44&gt;32600000,K44&lt;=35400000),13,IF(AND(K44&gt;35400000,K44&lt;=38900000),14,IF(AND(K44&gt;38900000,K44&lt;=43000000),15,IF(AND(K44&gt;43000000,K44&lt;=47400000),16,IF(AND(K44&gt;47400000,K44&lt;=51200000),17,IF(AND(K44&gt;51200000,K44&lt;=55800000),18,IF(AND(K44&gt;55800000,K44&lt;=60400000),19,IF(AND(K44&gt;60400000,K44&lt;=66700000),20,IF(AND(K44&gt;66700000,K44&lt;=74500000),21,IF(AND(K44&gt;74500000,K44&lt;=83200000),22,IF(AND(K44&gt;83200000,K44&lt;=95600000),23,IF(AND(K44&gt;95600000,K44&lt;=110000000),24,IF(AND(K44&gt;110000000,K44&lt;=134000000),25,IF(AND(K44&gt;134000000,K44&lt;=169000000),26,IF(AND(K44&gt;169000000,K44&lt;=221000000),27,IF(AND(K44&gt;221000000,K44&lt;=390000000),28,IF(AND(K44&gt;390000000,K44&lt;=463000000),29,IF(AND(K44&gt;463000000,K44&lt;=561000000),30,IF(AND(K44&gt;561000000,K44&lt;=709000000),31,IF(AND(K44&gt;709000000,K44&lt;=965000000),32,IF(AND(K44&gt;965000000,K44&lt;=1419000000),33,34))))))))))))))))))))))))))))))))))))))))</f>
        <v>0</v>
      </c>
      <c r="S44" s="10"/>
      <c r="T44" s="10"/>
    </row>
    <row r="45" spans="1:21">
      <c r="D45" s="1"/>
      <c r="E45" s="1"/>
      <c r="G45" s="1"/>
      <c r="H45" s="1"/>
      <c r="I45" s="1"/>
      <c r="J45" s="1"/>
      <c r="L45">
        <f>IF(OR(G45="TK/0",G45="TK/1",G45="K/0",G45="HB/0",G45="HB/1"),P45,IF(OR(G45="TK/2",G45="TK/3",G45="K/1",G45="K/2",G45="HB/2",G45="HB/3"),Q45,R45))</f>
        <v>0</v>
      </c>
      <c r="M45" s="1"/>
      <c r="N45" s="2"/>
      <c r="P45" s="10">
        <f>IF(K45&lt;=5400000,0,IF(AND(K45&gt;5400000,K45&lt;=5650000),0.25,IF(AND(K45&gt;5650000,K45&lt;=5950000),0.5,IF(AND(K45&gt;5950000,K45&lt;=6300000),0.75,IF(AND(K45&gt;6300000,K45&lt;=6750000),1,IF(AND(K45&gt;6750000,K45&lt;=7500000),1.25,IF(AND(K45&gt;7500000,K45&lt;=8550000),1.5,IF(AND(K45&gt;8550000,K45&lt;=9650000),1.75,IF(AND(K45&gt;9650000,K45&lt;=10050000),2,IF(AND(K45&gt;10050000,K45&lt;=10350000),2.25,IF(AND(K45&gt;10350000,K45&lt;=10700000),2.5,IF(AND(K45&gt;10700000,K45&lt;=11050000),3,IF(AND(K45&gt;11050000,K45&lt;=11600000),3.5,IF(AND(K45&gt;11600000,K45&lt;=12500000),4,IF(AND(K45&gt;12500000,K45&lt;=13750000),5,IF(AND(K45&gt;13750000,K45&lt;=15100000),6,IF(AND(K45&gt;15100000,K45&lt;=16950000),7,IF(AND(K45&gt;16950000,K45&lt;=19750000),8,IF(AND(K45&gt;19750000,K45&lt;=24150000),9,IF(AND(K45&gt;24150000,K45&lt;=26450000),10,IF(AND(K45&gt;26450000,K45&lt;=28000000),11,IF(AND(K45&gt;28000000,K45&lt;=30050000),12,IF(AND(K45&gt;30050000,K45&lt;=32400000),13,IF(AND(K45&gt;32400000,K45&lt;=35400000),14,IF(AND(K45&gt;35400000,K45&lt;=39100000),15,IF(AND(K45&gt;39100000,K45&lt;=43850000),16,IF(AND(K45&gt;43850000,K45&lt;=47800000),17,IF(AND(K45&gt;47800000,K45&lt;=51400000),18,IF(AND(K45&gt;51400000,K45&lt;=56300000),19,IF(AND(K45&gt;56300000,K45&lt;=62200000),20,IF(AND(K45&gt;62200000,K45&lt;=68600000),21,IF(AND(K45&gt;68600000,K45&lt;=77500000),22,IF(AND(K45&gt;77500000,K45&lt;=89000000),23,IF(AND(K45&gt;89000000,K45&lt;=103000000),24,IF(AND(K45&gt;103000000,K45&lt;=125000000),25,IF(AND(K45&gt;125000000,K45&lt;=157000000),26,IF(AND(K45&gt;157000000,K45&lt;=206000000),27,IF(AND(K45&gt;206000000,K45&lt;=337000000),28,IF(AND(K45&gt;337000000,K45&lt;=454000000),29,IF(AND(K45&gt;454000000,K45&lt;=550000000),30,IF(AND(K45&gt;550000000,K45&lt;=695000000),31,IF(AND(K45&gt;695000000,K45&lt;=910000000),32,IF(AND(K45&gt;910000000,K45&lt;=1400000000),33,34)))))))))))))))))))))))))))))))))))))))))))</f>
        <v>0</v>
      </c>
      <c r="Q45" s="10">
        <f>IF(K45&lt;=6200000,0,IF(AND(K45&gt;6200000,K45&lt;=6500000),0.25,IF(AND(K45&gt;6500000,K45&lt;=6850000),0.5,IF(AND(K45&gt;6850000,K45&lt;=7300000),0.75,IF(AND(K45&gt;7300000,K45&lt;=9200000),1,IF(AND(K45&gt;9200000,K45&lt;=10750000),1.5,IF(AND(K45&gt;10750000,K45&lt;=11250000),2,IF(AND(K45&gt;11250000,K45&lt;=11600000),2.5,IF(AND(K45&gt;11600000,K45&lt;=12600000),3,IF(AND(K45&gt;12600000,K45&lt;=13600000),4,IF(AND(K45&gt;13600000,K45&lt;=14950000),5,IF(AND(K45&gt;14950000,K45&lt;=16400000),6,IF(AND(K45&gt;16400000,K45&lt;=18450000),7,IF(AND(K45&gt;18450000,K45&lt;=21850000),8,IF(AND(K45&gt;21850000,K45&lt;=26000000),9,IF(AND(K45&gt;26000000,K45&lt;=27700000),10,IF(AND(K45&gt;27700000,K45&lt;=29350000),11,IF(AND(K45&gt;29350000,K45&lt;=31450000),12,IF(AND(K45&gt;31450000,K45&lt;=33950000),13,IF(AND(K45&gt;33950000,K45&lt;=37100000),14,IF(AND(K45&gt;37100000,K45&lt;=41100000),15,IF(AND(K45&gt;41100000,K45&lt;=45800000),16,IF(AND(K45&gt;45800000,K45&lt;=49500000),17,IF(AND(K45&gt;49500000,K45&lt;=53800000),18,IF(AND(K45&gt;53800000,K45&lt;=58500000),19,IF(AND(K45&gt;58500000,K45&lt;=64000000),20,IF(AND(K45&gt;64000000,K45&lt;=71000000),21,IF(AND(K45&gt;71000000,K45&lt;=80000000),22,IF(AND(K45&gt;80000000,K45&lt;=93000000),23,IF(AND(K45&gt;93000000,K45&lt;=109000000),24,IF(AND(K45&gt;109000000,K45&lt;=129000000),25,IF(AND(K45&gt;129000000,K45&lt;=163000000),26,IF(AND(K45&gt;163000000,K45&lt;=211000000),27,IF(AND(K45&gt;211000000,K45&lt;=374000000),28,IF(AND(K45&gt;374000000,K45&lt;=459000000),29,IF(AND(K45&gt;459000000,K45&lt;=555000000),30,IF(AND(K45&gt;555000000,K45&lt;=704000000),31,IF(AND(K45&gt;704000000,K45&lt;=957000000),32,IF(AND(K45&gt;957000000,K45&lt;=1405000000),33,34)))))))))))))))))))))))))))))))))))))))</f>
        <v>0</v>
      </c>
      <c r="R45" s="10">
        <f>IF(K45&lt;=6600000,0,IF(AND(K45&gt;6600000,K45&lt;=6950000),0.25,IF(AND(K45&gt;6950000,K45&lt;=7350000),0.5,IF(AND(K45&gt;7350000,K45&lt;=7800000),0.75,IF(AND(K45&gt;7800000,K45&lt;=8850000),1,IF(AND(K45&gt;8850000,K45&lt;=9800000),1.25,IF(AND(K45&gt;9800000,K45&lt;=10950000),1.5,IF(AND(K45&gt;10950000,K45&lt;=11200000),1.75,IF(AND(K45&gt;11200000,K45&lt;=12050000),2,IF(AND(K45&gt;12050000,K45&lt;=12950000),3,IF(AND(K45&gt;12950000,K45&lt;=14150000),4,IF(AND(K45&gt;14150000,K45&lt;=15550000),5,IF(AND(K45&gt;15550000,K45&lt;=17050000),6,IF(AND(K45&gt;17050000,K45&lt;=19500000),7,IF(AND(K45&gt;19500000,K45&lt;=22700000),8,IF(AND(K45&gt;22700000,K45&lt;=26600000),9,IF(AND(K45&gt;26600000,K45&lt;=28100000),10,IF(AND(K45&gt;28100000,K45&lt;=30100000),11,IF(AND(K45&gt;30100000,K45&lt;=32600000),12,IF(AND(K45&gt;32600000,K45&lt;=35400000),13,IF(AND(K45&gt;35400000,K45&lt;=38900000),14,IF(AND(K45&gt;38900000,K45&lt;=43000000),15,IF(AND(K45&gt;43000000,K45&lt;=47400000),16,IF(AND(K45&gt;47400000,K45&lt;=51200000),17,IF(AND(K45&gt;51200000,K45&lt;=55800000),18,IF(AND(K45&gt;55800000,K45&lt;=60400000),19,IF(AND(K45&gt;60400000,K45&lt;=66700000),20,IF(AND(K45&gt;66700000,K45&lt;=74500000),21,IF(AND(K45&gt;74500000,K45&lt;=83200000),22,IF(AND(K45&gt;83200000,K45&lt;=95600000),23,IF(AND(K45&gt;95600000,K45&lt;=110000000),24,IF(AND(K45&gt;110000000,K45&lt;=134000000),25,IF(AND(K45&gt;134000000,K45&lt;=169000000),26,IF(AND(K45&gt;169000000,K45&lt;=221000000),27,IF(AND(K45&gt;221000000,K45&lt;=390000000),28,IF(AND(K45&gt;390000000,K45&lt;=463000000),29,IF(AND(K45&gt;463000000,K45&lt;=561000000),30,IF(AND(K45&gt;561000000,K45&lt;=709000000),31,IF(AND(K45&gt;709000000,K45&lt;=965000000),32,IF(AND(K45&gt;965000000,K45&lt;=1419000000),33,34))))))))))))))))))))))))))))))))))))))))</f>
        <v>0</v>
      </c>
      <c r="S45" s="10"/>
      <c r="T45" s="10"/>
    </row>
    <row r="46" spans="1:21">
      <c r="D46" s="1"/>
      <c r="E46" s="1"/>
      <c r="G46" s="1"/>
      <c r="H46" s="1"/>
      <c r="I46" s="1"/>
      <c r="J46" s="1"/>
      <c r="L46">
        <f>IF(OR(G46="TK/0",G46="TK/1",G46="K/0",G46="HB/0",G46="HB/1"),P46,IF(OR(G46="TK/2",G46="TK/3",G46="K/1",G46="K/2",G46="HB/2",G46="HB/3"),Q46,R46))</f>
        <v>0</v>
      </c>
      <c r="M46" s="1"/>
      <c r="N46" s="2"/>
      <c r="P46" s="10">
        <f>IF(K46&lt;=5400000,0,IF(AND(K46&gt;5400000,K46&lt;=5650000),0.25,IF(AND(K46&gt;5650000,K46&lt;=5950000),0.5,IF(AND(K46&gt;5950000,K46&lt;=6300000),0.75,IF(AND(K46&gt;6300000,K46&lt;=6750000),1,IF(AND(K46&gt;6750000,K46&lt;=7500000),1.25,IF(AND(K46&gt;7500000,K46&lt;=8550000),1.5,IF(AND(K46&gt;8550000,K46&lt;=9650000),1.75,IF(AND(K46&gt;9650000,K46&lt;=10050000),2,IF(AND(K46&gt;10050000,K46&lt;=10350000),2.25,IF(AND(K46&gt;10350000,K46&lt;=10700000),2.5,IF(AND(K46&gt;10700000,K46&lt;=11050000),3,IF(AND(K46&gt;11050000,K46&lt;=11600000),3.5,IF(AND(K46&gt;11600000,K46&lt;=12500000),4,IF(AND(K46&gt;12500000,K46&lt;=13750000),5,IF(AND(K46&gt;13750000,K46&lt;=15100000),6,IF(AND(K46&gt;15100000,K46&lt;=16950000),7,IF(AND(K46&gt;16950000,K46&lt;=19750000),8,IF(AND(K46&gt;19750000,K46&lt;=24150000),9,IF(AND(K46&gt;24150000,K46&lt;=26450000),10,IF(AND(K46&gt;26450000,K46&lt;=28000000),11,IF(AND(K46&gt;28000000,K46&lt;=30050000),12,IF(AND(K46&gt;30050000,K46&lt;=32400000),13,IF(AND(K46&gt;32400000,K46&lt;=35400000),14,IF(AND(K46&gt;35400000,K46&lt;=39100000),15,IF(AND(K46&gt;39100000,K46&lt;=43850000),16,IF(AND(K46&gt;43850000,K46&lt;=47800000),17,IF(AND(K46&gt;47800000,K46&lt;=51400000),18,IF(AND(K46&gt;51400000,K46&lt;=56300000),19,IF(AND(K46&gt;56300000,K46&lt;=62200000),20,IF(AND(K46&gt;62200000,K46&lt;=68600000),21,IF(AND(K46&gt;68600000,K46&lt;=77500000),22,IF(AND(K46&gt;77500000,K46&lt;=89000000),23,IF(AND(K46&gt;89000000,K46&lt;=103000000),24,IF(AND(K46&gt;103000000,K46&lt;=125000000),25,IF(AND(K46&gt;125000000,K46&lt;=157000000),26,IF(AND(K46&gt;157000000,K46&lt;=206000000),27,IF(AND(K46&gt;206000000,K46&lt;=337000000),28,IF(AND(K46&gt;337000000,K46&lt;=454000000),29,IF(AND(K46&gt;454000000,K46&lt;=550000000),30,IF(AND(K46&gt;550000000,K46&lt;=695000000),31,IF(AND(K46&gt;695000000,K46&lt;=910000000),32,IF(AND(K46&gt;910000000,K46&lt;=1400000000),33,34)))))))))))))))))))))))))))))))))))))))))))</f>
        <v>0</v>
      </c>
      <c r="Q46" s="10">
        <f>IF(K46&lt;=6200000,0,IF(AND(K46&gt;6200000,K46&lt;=6500000),0.25,IF(AND(K46&gt;6500000,K46&lt;=6850000),0.5,IF(AND(K46&gt;6850000,K46&lt;=7300000),0.75,IF(AND(K46&gt;7300000,K46&lt;=9200000),1,IF(AND(K46&gt;9200000,K46&lt;=10750000),1.5,IF(AND(K46&gt;10750000,K46&lt;=11250000),2,IF(AND(K46&gt;11250000,K46&lt;=11600000),2.5,IF(AND(K46&gt;11600000,K46&lt;=12600000),3,IF(AND(K46&gt;12600000,K46&lt;=13600000),4,IF(AND(K46&gt;13600000,K46&lt;=14950000),5,IF(AND(K46&gt;14950000,K46&lt;=16400000),6,IF(AND(K46&gt;16400000,K46&lt;=18450000),7,IF(AND(K46&gt;18450000,K46&lt;=21850000),8,IF(AND(K46&gt;21850000,K46&lt;=26000000),9,IF(AND(K46&gt;26000000,K46&lt;=27700000),10,IF(AND(K46&gt;27700000,K46&lt;=29350000),11,IF(AND(K46&gt;29350000,K46&lt;=31450000),12,IF(AND(K46&gt;31450000,K46&lt;=33950000),13,IF(AND(K46&gt;33950000,K46&lt;=37100000),14,IF(AND(K46&gt;37100000,K46&lt;=41100000),15,IF(AND(K46&gt;41100000,K46&lt;=45800000),16,IF(AND(K46&gt;45800000,K46&lt;=49500000),17,IF(AND(K46&gt;49500000,K46&lt;=53800000),18,IF(AND(K46&gt;53800000,K46&lt;=58500000),19,IF(AND(K46&gt;58500000,K46&lt;=64000000),20,IF(AND(K46&gt;64000000,K46&lt;=71000000),21,IF(AND(K46&gt;71000000,K46&lt;=80000000),22,IF(AND(K46&gt;80000000,K46&lt;=93000000),23,IF(AND(K46&gt;93000000,K46&lt;=109000000),24,IF(AND(K46&gt;109000000,K46&lt;=129000000),25,IF(AND(K46&gt;129000000,K46&lt;=163000000),26,IF(AND(K46&gt;163000000,K46&lt;=211000000),27,IF(AND(K46&gt;211000000,K46&lt;=374000000),28,IF(AND(K46&gt;374000000,K46&lt;=459000000),29,IF(AND(K46&gt;459000000,K46&lt;=555000000),30,IF(AND(K46&gt;555000000,K46&lt;=704000000),31,IF(AND(K46&gt;704000000,K46&lt;=957000000),32,IF(AND(K46&gt;957000000,K46&lt;=1405000000),33,34)))))))))))))))))))))))))))))))))))))))</f>
        <v>0</v>
      </c>
      <c r="R46" s="10">
        <f>IF(K46&lt;=6600000,0,IF(AND(K46&gt;6600000,K46&lt;=6950000),0.25,IF(AND(K46&gt;6950000,K46&lt;=7350000),0.5,IF(AND(K46&gt;7350000,K46&lt;=7800000),0.75,IF(AND(K46&gt;7800000,K46&lt;=8850000),1,IF(AND(K46&gt;8850000,K46&lt;=9800000),1.25,IF(AND(K46&gt;9800000,K46&lt;=10950000),1.5,IF(AND(K46&gt;10950000,K46&lt;=11200000),1.75,IF(AND(K46&gt;11200000,K46&lt;=12050000),2,IF(AND(K46&gt;12050000,K46&lt;=12950000),3,IF(AND(K46&gt;12950000,K46&lt;=14150000),4,IF(AND(K46&gt;14150000,K46&lt;=15550000),5,IF(AND(K46&gt;15550000,K46&lt;=17050000),6,IF(AND(K46&gt;17050000,K46&lt;=19500000),7,IF(AND(K46&gt;19500000,K46&lt;=22700000),8,IF(AND(K46&gt;22700000,K46&lt;=26600000),9,IF(AND(K46&gt;26600000,K46&lt;=28100000),10,IF(AND(K46&gt;28100000,K46&lt;=30100000),11,IF(AND(K46&gt;30100000,K46&lt;=32600000),12,IF(AND(K46&gt;32600000,K46&lt;=35400000),13,IF(AND(K46&gt;35400000,K46&lt;=38900000),14,IF(AND(K46&gt;38900000,K46&lt;=43000000),15,IF(AND(K46&gt;43000000,K46&lt;=47400000),16,IF(AND(K46&gt;47400000,K46&lt;=51200000),17,IF(AND(K46&gt;51200000,K46&lt;=55800000),18,IF(AND(K46&gt;55800000,K46&lt;=60400000),19,IF(AND(K46&gt;60400000,K46&lt;=66700000),20,IF(AND(K46&gt;66700000,K46&lt;=74500000),21,IF(AND(K46&gt;74500000,K46&lt;=83200000),22,IF(AND(K46&gt;83200000,K46&lt;=95600000),23,IF(AND(K46&gt;95600000,K46&lt;=110000000),24,IF(AND(K46&gt;110000000,K46&lt;=134000000),25,IF(AND(K46&gt;134000000,K46&lt;=169000000),26,IF(AND(K46&gt;169000000,K46&lt;=221000000),27,IF(AND(K46&gt;221000000,K46&lt;=390000000),28,IF(AND(K46&gt;390000000,K46&lt;=463000000),29,IF(AND(K46&gt;463000000,K46&lt;=561000000),30,IF(AND(K46&gt;561000000,K46&lt;=709000000),31,IF(AND(K46&gt;709000000,K46&lt;=965000000),32,IF(AND(K46&gt;965000000,K46&lt;=1419000000),33,34))))))))))))))))))))))))))))))))))))))))</f>
        <v>0</v>
      </c>
      <c r="S46" s="10"/>
      <c r="T46" s="10"/>
    </row>
    <row r="47" spans="1:21">
      <c r="D47" s="1"/>
      <c r="E47" s="1"/>
      <c r="G47" s="1"/>
      <c r="H47" s="1"/>
      <c r="I47" s="1"/>
      <c r="J47" s="1"/>
      <c r="L47">
        <f>IF(OR(G47="TK/0",G47="TK/1",G47="K/0",G47="HB/0",G47="HB/1"),P47,IF(OR(G47="TK/2",G47="TK/3",G47="K/1",G47="K/2",G47="HB/2",G47="HB/3"),Q47,R47))</f>
        <v>0</v>
      </c>
      <c r="M47" s="1"/>
      <c r="N47" s="2"/>
      <c r="P47" s="10">
        <f>IF(K47&lt;=5400000,0,IF(AND(K47&gt;5400000,K47&lt;=5650000),0.25,IF(AND(K47&gt;5650000,K47&lt;=5950000),0.5,IF(AND(K47&gt;5950000,K47&lt;=6300000),0.75,IF(AND(K47&gt;6300000,K47&lt;=6750000),1,IF(AND(K47&gt;6750000,K47&lt;=7500000),1.25,IF(AND(K47&gt;7500000,K47&lt;=8550000),1.5,IF(AND(K47&gt;8550000,K47&lt;=9650000),1.75,IF(AND(K47&gt;9650000,K47&lt;=10050000),2,IF(AND(K47&gt;10050000,K47&lt;=10350000),2.25,IF(AND(K47&gt;10350000,K47&lt;=10700000),2.5,IF(AND(K47&gt;10700000,K47&lt;=11050000),3,IF(AND(K47&gt;11050000,K47&lt;=11600000),3.5,IF(AND(K47&gt;11600000,K47&lt;=12500000),4,IF(AND(K47&gt;12500000,K47&lt;=13750000),5,IF(AND(K47&gt;13750000,K47&lt;=15100000),6,IF(AND(K47&gt;15100000,K47&lt;=16950000),7,IF(AND(K47&gt;16950000,K47&lt;=19750000),8,IF(AND(K47&gt;19750000,K47&lt;=24150000),9,IF(AND(K47&gt;24150000,K47&lt;=26450000),10,IF(AND(K47&gt;26450000,K47&lt;=28000000),11,IF(AND(K47&gt;28000000,K47&lt;=30050000),12,IF(AND(K47&gt;30050000,K47&lt;=32400000),13,IF(AND(K47&gt;32400000,K47&lt;=35400000),14,IF(AND(K47&gt;35400000,K47&lt;=39100000),15,IF(AND(K47&gt;39100000,K47&lt;=43850000),16,IF(AND(K47&gt;43850000,K47&lt;=47800000),17,IF(AND(K47&gt;47800000,K47&lt;=51400000),18,IF(AND(K47&gt;51400000,K47&lt;=56300000),19,IF(AND(K47&gt;56300000,K47&lt;=62200000),20,IF(AND(K47&gt;62200000,K47&lt;=68600000),21,IF(AND(K47&gt;68600000,K47&lt;=77500000),22,IF(AND(K47&gt;77500000,K47&lt;=89000000),23,IF(AND(K47&gt;89000000,K47&lt;=103000000),24,IF(AND(K47&gt;103000000,K47&lt;=125000000),25,IF(AND(K47&gt;125000000,K47&lt;=157000000),26,IF(AND(K47&gt;157000000,K47&lt;=206000000),27,IF(AND(K47&gt;206000000,K47&lt;=337000000),28,IF(AND(K47&gt;337000000,K47&lt;=454000000),29,IF(AND(K47&gt;454000000,K47&lt;=550000000),30,IF(AND(K47&gt;550000000,K47&lt;=695000000),31,IF(AND(K47&gt;695000000,K47&lt;=910000000),32,IF(AND(K47&gt;910000000,K47&lt;=1400000000),33,34)))))))))))))))))))))))))))))))))))))))))))</f>
        <v>0</v>
      </c>
      <c r="Q47" s="10">
        <f>IF(K47&lt;=6200000,0,IF(AND(K47&gt;6200000,K47&lt;=6500000),0.25,IF(AND(K47&gt;6500000,K47&lt;=6850000),0.5,IF(AND(K47&gt;6850000,K47&lt;=7300000),0.75,IF(AND(K47&gt;7300000,K47&lt;=9200000),1,IF(AND(K47&gt;9200000,K47&lt;=10750000),1.5,IF(AND(K47&gt;10750000,K47&lt;=11250000),2,IF(AND(K47&gt;11250000,K47&lt;=11600000),2.5,IF(AND(K47&gt;11600000,K47&lt;=12600000),3,IF(AND(K47&gt;12600000,K47&lt;=13600000),4,IF(AND(K47&gt;13600000,K47&lt;=14950000),5,IF(AND(K47&gt;14950000,K47&lt;=16400000),6,IF(AND(K47&gt;16400000,K47&lt;=18450000),7,IF(AND(K47&gt;18450000,K47&lt;=21850000),8,IF(AND(K47&gt;21850000,K47&lt;=26000000),9,IF(AND(K47&gt;26000000,K47&lt;=27700000),10,IF(AND(K47&gt;27700000,K47&lt;=29350000),11,IF(AND(K47&gt;29350000,K47&lt;=31450000),12,IF(AND(K47&gt;31450000,K47&lt;=33950000),13,IF(AND(K47&gt;33950000,K47&lt;=37100000),14,IF(AND(K47&gt;37100000,K47&lt;=41100000),15,IF(AND(K47&gt;41100000,K47&lt;=45800000),16,IF(AND(K47&gt;45800000,K47&lt;=49500000),17,IF(AND(K47&gt;49500000,K47&lt;=53800000),18,IF(AND(K47&gt;53800000,K47&lt;=58500000),19,IF(AND(K47&gt;58500000,K47&lt;=64000000),20,IF(AND(K47&gt;64000000,K47&lt;=71000000),21,IF(AND(K47&gt;71000000,K47&lt;=80000000),22,IF(AND(K47&gt;80000000,K47&lt;=93000000),23,IF(AND(K47&gt;93000000,K47&lt;=109000000),24,IF(AND(K47&gt;109000000,K47&lt;=129000000),25,IF(AND(K47&gt;129000000,K47&lt;=163000000),26,IF(AND(K47&gt;163000000,K47&lt;=211000000),27,IF(AND(K47&gt;211000000,K47&lt;=374000000),28,IF(AND(K47&gt;374000000,K47&lt;=459000000),29,IF(AND(K47&gt;459000000,K47&lt;=555000000),30,IF(AND(K47&gt;555000000,K47&lt;=704000000),31,IF(AND(K47&gt;704000000,K47&lt;=957000000),32,IF(AND(K47&gt;957000000,K47&lt;=1405000000),33,34)))))))))))))))))))))))))))))))))))))))</f>
        <v>0</v>
      </c>
      <c r="R47" s="10">
        <f>IF(K47&lt;=6600000,0,IF(AND(K47&gt;6600000,K47&lt;=6950000),0.25,IF(AND(K47&gt;6950000,K47&lt;=7350000),0.5,IF(AND(K47&gt;7350000,K47&lt;=7800000),0.75,IF(AND(K47&gt;7800000,K47&lt;=8850000),1,IF(AND(K47&gt;8850000,K47&lt;=9800000),1.25,IF(AND(K47&gt;9800000,K47&lt;=10950000),1.5,IF(AND(K47&gt;10950000,K47&lt;=11200000),1.75,IF(AND(K47&gt;11200000,K47&lt;=12050000),2,IF(AND(K47&gt;12050000,K47&lt;=12950000),3,IF(AND(K47&gt;12950000,K47&lt;=14150000),4,IF(AND(K47&gt;14150000,K47&lt;=15550000),5,IF(AND(K47&gt;15550000,K47&lt;=17050000),6,IF(AND(K47&gt;17050000,K47&lt;=19500000),7,IF(AND(K47&gt;19500000,K47&lt;=22700000),8,IF(AND(K47&gt;22700000,K47&lt;=26600000),9,IF(AND(K47&gt;26600000,K47&lt;=28100000),10,IF(AND(K47&gt;28100000,K47&lt;=30100000),11,IF(AND(K47&gt;30100000,K47&lt;=32600000),12,IF(AND(K47&gt;32600000,K47&lt;=35400000),13,IF(AND(K47&gt;35400000,K47&lt;=38900000),14,IF(AND(K47&gt;38900000,K47&lt;=43000000),15,IF(AND(K47&gt;43000000,K47&lt;=47400000),16,IF(AND(K47&gt;47400000,K47&lt;=51200000),17,IF(AND(K47&gt;51200000,K47&lt;=55800000),18,IF(AND(K47&gt;55800000,K47&lt;=60400000),19,IF(AND(K47&gt;60400000,K47&lt;=66700000),20,IF(AND(K47&gt;66700000,K47&lt;=74500000),21,IF(AND(K47&gt;74500000,K47&lt;=83200000),22,IF(AND(K47&gt;83200000,K47&lt;=95600000),23,IF(AND(K47&gt;95600000,K47&lt;=110000000),24,IF(AND(K47&gt;110000000,K47&lt;=134000000),25,IF(AND(K47&gt;134000000,K47&lt;=169000000),26,IF(AND(K47&gt;169000000,K47&lt;=221000000),27,IF(AND(K47&gt;221000000,K47&lt;=390000000),28,IF(AND(K47&gt;390000000,K47&lt;=463000000),29,IF(AND(K47&gt;463000000,K47&lt;=561000000),30,IF(AND(K47&gt;561000000,K47&lt;=709000000),31,IF(AND(K47&gt;709000000,K47&lt;=965000000),32,IF(AND(K47&gt;965000000,K47&lt;=1419000000),33,34))))))))))))))))))))))))))))))))))))))))</f>
        <v>0</v>
      </c>
      <c r="S47" s="10"/>
      <c r="T47" s="10"/>
    </row>
    <row r="48" spans="1:21">
      <c r="D48" s="1"/>
      <c r="E48" s="1"/>
      <c r="G48" s="1"/>
      <c r="H48" s="1"/>
      <c r="I48" s="1"/>
      <c r="J48" s="1"/>
      <c r="L48">
        <f>IF(OR(G48="TK/0",G48="TK/1",G48="K/0",G48="HB/0",G48="HB/1"),P48,IF(OR(G48="TK/2",G48="TK/3",G48="K/1",G48="K/2",G48="HB/2",G48="HB/3"),Q48,R48))</f>
        <v>0</v>
      </c>
      <c r="M48" s="1"/>
      <c r="N48" s="2"/>
      <c r="P48" s="10">
        <f>IF(K48&lt;=5400000,0,IF(AND(K48&gt;5400000,K48&lt;=5650000),0.25,IF(AND(K48&gt;5650000,K48&lt;=5950000),0.5,IF(AND(K48&gt;5950000,K48&lt;=6300000),0.75,IF(AND(K48&gt;6300000,K48&lt;=6750000),1,IF(AND(K48&gt;6750000,K48&lt;=7500000),1.25,IF(AND(K48&gt;7500000,K48&lt;=8550000),1.5,IF(AND(K48&gt;8550000,K48&lt;=9650000),1.75,IF(AND(K48&gt;9650000,K48&lt;=10050000),2,IF(AND(K48&gt;10050000,K48&lt;=10350000),2.25,IF(AND(K48&gt;10350000,K48&lt;=10700000),2.5,IF(AND(K48&gt;10700000,K48&lt;=11050000),3,IF(AND(K48&gt;11050000,K48&lt;=11600000),3.5,IF(AND(K48&gt;11600000,K48&lt;=12500000),4,IF(AND(K48&gt;12500000,K48&lt;=13750000),5,IF(AND(K48&gt;13750000,K48&lt;=15100000),6,IF(AND(K48&gt;15100000,K48&lt;=16950000),7,IF(AND(K48&gt;16950000,K48&lt;=19750000),8,IF(AND(K48&gt;19750000,K48&lt;=24150000),9,IF(AND(K48&gt;24150000,K48&lt;=26450000),10,IF(AND(K48&gt;26450000,K48&lt;=28000000),11,IF(AND(K48&gt;28000000,K48&lt;=30050000),12,IF(AND(K48&gt;30050000,K48&lt;=32400000),13,IF(AND(K48&gt;32400000,K48&lt;=35400000),14,IF(AND(K48&gt;35400000,K48&lt;=39100000),15,IF(AND(K48&gt;39100000,K48&lt;=43850000),16,IF(AND(K48&gt;43850000,K48&lt;=47800000),17,IF(AND(K48&gt;47800000,K48&lt;=51400000),18,IF(AND(K48&gt;51400000,K48&lt;=56300000),19,IF(AND(K48&gt;56300000,K48&lt;=62200000),20,IF(AND(K48&gt;62200000,K48&lt;=68600000),21,IF(AND(K48&gt;68600000,K48&lt;=77500000),22,IF(AND(K48&gt;77500000,K48&lt;=89000000),23,IF(AND(K48&gt;89000000,K48&lt;=103000000),24,IF(AND(K48&gt;103000000,K48&lt;=125000000),25,IF(AND(K48&gt;125000000,K48&lt;=157000000),26,IF(AND(K48&gt;157000000,K48&lt;=206000000),27,IF(AND(K48&gt;206000000,K48&lt;=337000000),28,IF(AND(K48&gt;337000000,K48&lt;=454000000),29,IF(AND(K48&gt;454000000,K48&lt;=550000000),30,IF(AND(K48&gt;550000000,K48&lt;=695000000),31,IF(AND(K48&gt;695000000,K48&lt;=910000000),32,IF(AND(K48&gt;910000000,K48&lt;=1400000000),33,34)))))))))))))))))))))))))))))))))))))))))))</f>
        <v>0</v>
      </c>
      <c r="Q48" s="10">
        <f>IF(K48&lt;=6200000,0,IF(AND(K48&gt;6200000,K48&lt;=6500000),0.25,IF(AND(K48&gt;6500000,K48&lt;=6850000),0.5,IF(AND(K48&gt;6850000,K48&lt;=7300000),0.75,IF(AND(K48&gt;7300000,K48&lt;=9200000),1,IF(AND(K48&gt;9200000,K48&lt;=10750000),1.5,IF(AND(K48&gt;10750000,K48&lt;=11250000),2,IF(AND(K48&gt;11250000,K48&lt;=11600000),2.5,IF(AND(K48&gt;11600000,K48&lt;=12600000),3,IF(AND(K48&gt;12600000,K48&lt;=13600000),4,IF(AND(K48&gt;13600000,K48&lt;=14950000),5,IF(AND(K48&gt;14950000,K48&lt;=16400000),6,IF(AND(K48&gt;16400000,K48&lt;=18450000),7,IF(AND(K48&gt;18450000,K48&lt;=21850000),8,IF(AND(K48&gt;21850000,K48&lt;=26000000),9,IF(AND(K48&gt;26000000,K48&lt;=27700000),10,IF(AND(K48&gt;27700000,K48&lt;=29350000),11,IF(AND(K48&gt;29350000,K48&lt;=31450000),12,IF(AND(K48&gt;31450000,K48&lt;=33950000),13,IF(AND(K48&gt;33950000,K48&lt;=37100000),14,IF(AND(K48&gt;37100000,K48&lt;=41100000),15,IF(AND(K48&gt;41100000,K48&lt;=45800000),16,IF(AND(K48&gt;45800000,K48&lt;=49500000),17,IF(AND(K48&gt;49500000,K48&lt;=53800000),18,IF(AND(K48&gt;53800000,K48&lt;=58500000),19,IF(AND(K48&gt;58500000,K48&lt;=64000000),20,IF(AND(K48&gt;64000000,K48&lt;=71000000),21,IF(AND(K48&gt;71000000,K48&lt;=80000000),22,IF(AND(K48&gt;80000000,K48&lt;=93000000),23,IF(AND(K48&gt;93000000,K48&lt;=109000000),24,IF(AND(K48&gt;109000000,K48&lt;=129000000),25,IF(AND(K48&gt;129000000,K48&lt;=163000000),26,IF(AND(K48&gt;163000000,K48&lt;=211000000),27,IF(AND(K48&gt;211000000,K48&lt;=374000000),28,IF(AND(K48&gt;374000000,K48&lt;=459000000),29,IF(AND(K48&gt;459000000,K48&lt;=555000000),30,IF(AND(K48&gt;555000000,K48&lt;=704000000),31,IF(AND(K48&gt;704000000,K48&lt;=957000000),32,IF(AND(K48&gt;957000000,K48&lt;=1405000000),33,34)))))))))))))))))))))))))))))))))))))))</f>
        <v>0</v>
      </c>
      <c r="R48" s="10">
        <f>IF(K48&lt;=6600000,0,IF(AND(K48&gt;6600000,K48&lt;=6950000),0.25,IF(AND(K48&gt;6950000,K48&lt;=7350000),0.5,IF(AND(K48&gt;7350000,K48&lt;=7800000),0.75,IF(AND(K48&gt;7800000,K48&lt;=8850000),1,IF(AND(K48&gt;8850000,K48&lt;=9800000),1.25,IF(AND(K48&gt;9800000,K48&lt;=10950000),1.5,IF(AND(K48&gt;10950000,K48&lt;=11200000),1.75,IF(AND(K48&gt;11200000,K48&lt;=12050000),2,IF(AND(K48&gt;12050000,K48&lt;=12950000),3,IF(AND(K48&gt;12950000,K48&lt;=14150000),4,IF(AND(K48&gt;14150000,K48&lt;=15550000),5,IF(AND(K48&gt;15550000,K48&lt;=17050000),6,IF(AND(K48&gt;17050000,K48&lt;=19500000),7,IF(AND(K48&gt;19500000,K48&lt;=22700000),8,IF(AND(K48&gt;22700000,K48&lt;=26600000),9,IF(AND(K48&gt;26600000,K48&lt;=28100000),10,IF(AND(K48&gt;28100000,K48&lt;=30100000),11,IF(AND(K48&gt;30100000,K48&lt;=32600000),12,IF(AND(K48&gt;32600000,K48&lt;=35400000),13,IF(AND(K48&gt;35400000,K48&lt;=38900000),14,IF(AND(K48&gt;38900000,K48&lt;=43000000),15,IF(AND(K48&gt;43000000,K48&lt;=47400000),16,IF(AND(K48&gt;47400000,K48&lt;=51200000),17,IF(AND(K48&gt;51200000,K48&lt;=55800000),18,IF(AND(K48&gt;55800000,K48&lt;=60400000),19,IF(AND(K48&gt;60400000,K48&lt;=66700000),20,IF(AND(K48&gt;66700000,K48&lt;=74500000),21,IF(AND(K48&gt;74500000,K48&lt;=83200000),22,IF(AND(K48&gt;83200000,K48&lt;=95600000),23,IF(AND(K48&gt;95600000,K48&lt;=110000000),24,IF(AND(K48&gt;110000000,K48&lt;=134000000),25,IF(AND(K48&gt;134000000,K48&lt;=169000000),26,IF(AND(K48&gt;169000000,K48&lt;=221000000),27,IF(AND(K48&gt;221000000,K48&lt;=390000000),28,IF(AND(K48&gt;390000000,K48&lt;=463000000),29,IF(AND(K48&gt;463000000,K48&lt;=561000000),30,IF(AND(K48&gt;561000000,K48&lt;=709000000),31,IF(AND(K48&gt;709000000,K48&lt;=965000000),32,IF(AND(K48&gt;965000000,K48&lt;=1419000000),33,34))))))))))))))))))))))))))))))))))))))))</f>
        <v>0</v>
      </c>
      <c r="S48" s="10"/>
      <c r="T48" s="10"/>
    </row>
    <row r="49" spans="1:21">
      <c r="D49" s="1"/>
      <c r="E49" s="1"/>
      <c r="G49" s="1"/>
      <c r="H49" s="1"/>
      <c r="I49" s="1"/>
      <c r="J49" s="1"/>
      <c r="L49">
        <f>IF(OR(G49="TK/0",G49="TK/1",G49="K/0",G49="HB/0",G49="HB/1"),P49,IF(OR(G49="TK/2",G49="TK/3",G49="K/1",G49="K/2",G49="HB/2",G49="HB/3"),Q49,R49))</f>
        <v>0</v>
      </c>
      <c r="M49" s="1"/>
      <c r="N49" s="2"/>
      <c r="P49" s="10">
        <f>IF(K49&lt;=5400000,0,IF(AND(K49&gt;5400000,K49&lt;=5650000),0.25,IF(AND(K49&gt;5650000,K49&lt;=5950000),0.5,IF(AND(K49&gt;5950000,K49&lt;=6300000),0.75,IF(AND(K49&gt;6300000,K49&lt;=6750000),1,IF(AND(K49&gt;6750000,K49&lt;=7500000),1.25,IF(AND(K49&gt;7500000,K49&lt;=8550000),1.5,IF(AND(K49&gt;8550000,K49&lt;=9650000),1.75,IF(AND(K49&gt;9650000,K49&lt;=10050000),2,IF(AND(K49&gt;10050000,K49&lt;=10350000),2.25,IF(AND(K49&gt;10350000,K49&lt;=10700000),2.5,IF(AND(K49&gt;10700000,K49&lt;=11050000),3,IF(AND(K49&gt;11050000,K49&lt;=11600000),3.5,IF(AND(K49&gt;11600000,K49&lt;=12500000),4,IF(AND(K49&gt;12500000,K49&lt;=13750000),5,IF(AND(K49&gt;13750000,K49&lt;=15100000),6,IF(AND(K49&gt;15100000,K49&lt;=16950000),7,IF(AND(K49&gt;16950000,K49&lt;=19750000),8,IF(AND(K49&gt;19750000,K49&lt;=24150000),9,IF(AND(K49&gt;24150000,K49&lt;=26450000),10,IF(AND(K49&gt;26450000,K49&lt;=28000000),11,IF(AND(K49&gt;28000000,K49&lt;=30050000),12,IF(AND(K49&gt;30050000,K49&lt;=32400000),13,IF(AND(K49&gt;32400000,K49&lt;=35400000),14,IF(AND(K49&gt;35400000,K49&lt;=39100000),15,IF(AND(K49&gt;39100000,K49&lt;=43850000),16,IF(AND(K49&gt;43850000,K49&lt;=47800000),17,IF(AND(K49&gt;47800000,K49&lt;=51400000),18,IF(AND(K49&gt;51400000,K49&lt;=56300000),19,IF(AND(K49&gt;56300000,K49&lt;=62200000),20,IF(AND(K49&gt;62200000,K49&lt;=68600000),21,IF(AND(K49&gt;68600000,K49&lt;=77500000),22,IF(AND(K49&gt;77500000,K49&lt;=89000000),23,IF(AND(K49&gt;89000000,K49&lt;=103000000),24,IF(AND(K49&gt;103000000,K49&lt;=125000000),25,IF(AND(K49&gt;125000000,K49&lt;=157000000),26,IF(AND(K49&gt;157000000,K49&lt;=206000000),27,IF(AND(K49&gt;206000000,K49&lt;=337000000),28,IF(AND(K49&gt;337000000,K49&lt;=454000000),29,IF(AND(K49&gt;454000000,K49&lt;=550000000),30,IF(AND(K49&gt;550000000,K49&lt;=695000000),31,IF(AND(K49&gt;695000000,K49&lt;=910000000),32,IF(AND(K49&gt;910000000,K49&lt;=1400000000),33,34)))))))))))))))))))))))))))))))))))))))))))</f>
        <v>0</v>
      </c>
      <c r="Q49" s="10">
        <f>IF(K49&lt;=6200000,0,IF(AND(K49&gt;6200000,K49&lt;=6500000),0.25,IF(AND(K49&gt;6500000,K49&lt;=6850000),0.5,IF(AND(K49&gt;6850000,K49&lt;=7300000),0.75,IF(AND(K49&gt;7300000,K49&lt;=9200000),1,IF(AND(K49&gt;9200000,K49&lt;=10750000),1.5,IF(AND(K49&gt;10750000,K49&lt;=11250000),2,IF(AND(K49&gt;11250000,K49&lt;=11600000),2.5,IF(AND(K49&gt;11600000,K49&lt;=12600000),3,IF(AND(K49&gt;12600000,K49&lt;=13600000),4,IF(AND(K49&gt;13600000,K49&lt;=14950000),5,IF(AND(K49&gt;14950000,K49&lt;=16400000),6,IF(AND(K49&gt;16400000,K49&lt;=18450000),7,IF(AND(K49&gt;18450000,K49&lt;=21850000),8,IF(AND(K49&gt;21850000,K49&lt;=26000000),9,IF(AND(K49&gt;26000000,K49&lt;=27700000),10,IF(AND(K49&gt;27700000,K49&lt;=29350000),11,IF(AND(K49&gt;29350000,K49&lt;=31450000),12,IF(AND(K49&gt;31450000,K49&lt;=33950000),13,IF(AND(K49&gt;33950000,K49&lt;=37100000),14,IF(AND(K49&gt;37100000,K49&lt;=41100000),15,IF(AND(K49&gt;41100000,K49&lt;=45800000),16,IF(AND(K49&gt;45800000,K49&lt;=49500000),17,IF(AND(K49&gt;49500000,K49&lt;=53800000),18,IF(AND(K49&gt;53800000,K49&lt;=58500000),19,IF(AND(K49&gt;58500000,K49&lt;=64000000),20,IF(AND(K49&gt;64000000,K49&lt;=71000000),21,IF(AND(K49&gt;71000000,K49&lt;=80000000),22,IF(AND(K49&gt;80000000,K49&lt;=93000000),23,IF(AND(K49&gt;93000000,K49&lt;=109000000),24,IF(AND(K49&gt;109000000,K49&lt;=129000000),25,IF(AND(K49&gt;129000000,K49&lt;=163000000),26,IF(AND(K49&gt;163000000,K49&lt;=211000000),27,IF(AND(K49&gt;211000000,K49&lt;=374000000),28,IF(AND(K49&gt;374000000,K49&lt;=459000000),29,IF(AND(K49&gt;459000000,K49&lt;=555000000),30,IF(AND(K49&gt;555000000,K49&lt;=704000000),31,IF(AND(K49&gt;704000000,K49&lt;=957000000),32,IF(AND(K49&gt;957000000,K49&lt;=1405000000),33,34)))))))))))))))))))))))))))))))))))))))</f>
        <v>0</v>
      </c>
      <c r="R49" s="10">
        <f>IF(K49&lt;=6600000,0,IF(AND(K49&gt;6600000,K49&lt;=6950000),0.25,IF(AND(K49&gt;6950000,K49&lt;=7350000),0.5,IF(AND(K49&gt;7350000,K49&lt;=7800000),0.75,IF(AND(K49&gt;7800000,K49&lt;=8850000),1,IF(AND(K49&gt;8850000,K49&lt;=9800000),1.25,IF(AND(K49&gt;9800000,K49&lt;=10950000),1.5,IF(AND(K49&gt;10950000,K49&lt;=11200000),1.75,IF(AND(K49&gt;11200000,K49&lt;=12050000),2,IF(AND(K49&gt;12050000,K49&lt;=12950000),3,IF(AND(K49&gt;12950000,K49&lt;=14150000),4,IF(AND(K49&gt;14150000,K49&lt;=15550000),5,IF(AND(K49&gt;15550000,K49&lt;=17050000),6,IF(AND(K49&gt;17050000,K49&lt;=19500000),7,IF(AND(K49&gt;19500000,K49&lt;=22700000),8,IF(AND(K49&gt;22700000,K49&lt;=26600000),9,IF(AND(K49&gt;26600000,K49&lt;=28100000),10,IF(AND(K49&gt;28100000,K49&lt;=30100000),11,IF(AND(K49&gt;30100000,K49&lt;=32600000),12,IF(AND(K49&gt;32600000,K49&lt;=35400000),13,IF(AND(K49&gt;35400000,K49&lt;=38900000),14,IF(AND(K49&gt;38900000,K49&lt;=43000000),15,IF(AND(K49&gt;43000000,K49&lt;=47400000),16,IF(AND(K49&gt;47400000,K49&lt;=51200000),17,IF(AND(K49&gt;51200000,K49&lt;=55800000),18,IF(AND(K49&gt;55800000,K49&lt;=60400000),19,IF(AND(K49&gt;60400000,K49&lt;=66700000),20,IF(AND(K49&gt;66700000,K49&lt;=74500000),21,IF(AND(K49&gt;74500000,K49&lt;=83200000),22,IF(AND(K49&gt;83200000,K49&lt;=95600000),23,IF(AND(K49&gt;95600000,K49&lt;=110000000),24,IF(AND(K49&gt;110000000,K49&lt;=134000000),25,IF(AND(K49&gt;134000000,K49&lt;=169000000),26,IF(AND(K49&gt;169000000,K49&lt;=221000000),27,IF(AND(K49&gt;221000000,K49&lt;=390000000),28,IF(AND(K49&gt;390000000,K49&lt;=463000000),29,IF(AND(K49&gt;463000000,K49&lt;=561000000),30,IF(AND(K49&gt;561000000,K49&lt;=709000000),31,IF(AND(K49&gt;709000000,K49&lt;=965000000),32,IF(AND(K49&gt;965000000,K49&lt;=1419000000),33,34))))))))))))))))))))))))))))))))))))))))</f>
        <v>0</v>
      </c>
      <c r="S49" s="10"/>
      <c r="T49" s="10"/>
    </row>
    <row r="50" spans="1:21">
      <c r="D50" s="1"/>
      <c r="E50" s="1"/>
      <c r="G50" s="1"/>
      <c r="H50" s="1"/>
      <c r="I50" s="1"/>
      <c r="J50" s="1"/>
      <c r="L50">
        <f>IF(OR(G50="TK/0",G50="TK/1",G50="K/0",G50="HB/0",G50="HB/1"),P50,IF(OR(G50="TK/2",G50="TK/3",G50="K/1",G50="K/2",G50="HB/2",G50="HB/3"),Q50,R50))</f>
        <v>0</v>
      </c>
      <c r="M50" s="1"/>
      <c r="N50" s="2"/>
      <c r="P50" s="10">
        <f>IF(K50&lt;=5400000,0,IF(AND(K50&gt;5400000,K50&lt;=5650000),0.25,IF(AND(K50&gt;5650000,K50&lt;=5950000),0.5,IF(AND(K50&gt;5950000,K50&lt;=6300000),0.75,IF(AND(K50&gt;6300000,K50&lt;=6750000),1,IF(AND(K50&gt;6750000,K50&lt;=7500000),1.25,IF(AND(K50&gt;7500000,K50&lt;=8550000),1.5,IF(AND(K50&gt;8550000,K50&lt;=9650000),1.75,IF(AND(K50&gt;9650000,K50&lt;=10050000),2,IF(AND(K50&gt;10050000,K50&lt;=10350000),2.25,IF(AND(K50&gt;10350000,K50&lt;=10700000),2.5,IF(AND(K50&gt;10700000,K50&lt;=11050000),3,IF(AND(K50&gt;11050000,K50&lt;=11600000),3.5,IF(AND(K50&gt;11600000,K50&lt;=12500000),4,IF(AND(K50&gt;12500000,K50&lt;=13750000),5,IF(AND(K50&gt;13750000,K50&lt;=15100000),6,IF(AND(K50&gt;15100000,K50&lt;=16950000),7,IF(AND(K50&gt;16950000,K50&lt;=19750000),8,IF(AND(K50&gt;19750000,K50&lt;=24150000),9,IF(AND(K50&gt;24150000,K50&lt;=26450000),10,IF(AND(K50&gt;26450000,K50&lt;=28000000),11,IF(AND(K50&gt;28000000,K50&lt;=30050000),12,IF(AND(K50&gt;30050000,K50&lt;=32400000),13,IF(AND(K50&gt;32400000,K50&lt;=35400000),14,IF(AND(K50&gt;35400000,K50&lt;=39100000),15,IF(AND(K50&gt;39100000,K50&lt;=43850000),16,IF(AND(K50&gt;43850000,K50&lt;=47800000),17,IF(AND(K50&gt;47800000,K50&lt;=51400000),18,IF(AND(K50&gt;51400000,K50&lt;=56300000),19,IF(AND(K50&gt;56300000,K50&lt;=62200000),20,IF(AND(K50&gt;62200000,K50&lt;=68600000),21,IF(AND(K50&gt;68600000,K50&lt;=77500000),22,IF(AND(K50&gt;77500000,K50&lt;=89000000),23,IF(AND(K50&gt;89000000,K50&lt;=103000000),24,IF(AND(K50&gt;103000000,K50&lt;=125000000),25,IF(AND(K50&gt;125000000,K50&lt;=157000000),26,IF(AND(K50&gt;157000000,K50&lt;=206000000),27,IF(AND(K50&gt;206000000,K50&lt;=337000000),28,IF(AND(K50&gt;337000000,K50&lt;=454000000),29,IF(AND(K50&gt;454000000,K50&lt;=550000000),30,IF(AND(K50&gt;550000000,K50&lt;=695000000),31,IF(AND(K50&gt;695000000,K50&lt;=910000000),32,IF(AND(K50&gt;910000000,K50&lt;=1400000000),33,34)))))))))))))))))))))))))))))))))))))))))))</f>
        <v>0</v>
      </c>
      <c r="Q50" s="10">
        <f>IF(K50&lt;=6200000,0,IF(AND(K50&gt;6200000,K50&lt;=6500000),0.25,IF(AND(K50&gt;6500000,K50&lt;=6850000),0.5,IF(AND(K50&gt;6850000,K50&lt;=7300000),0.75,IF(AND(K50&gt;7300000,K50&lt;=9200000),1,IF(AND(K50&gt;9200000,K50&lt;=10750000),1.5,IF(AND(K50&gt;10750000,K50&lt;=11250000),2,IF(AND(K50&gt;11250000,K50&lt;=11600000),2.5,IF(AND(K50&gt;11600000,K50&lt;=12600000),3,IF(AND(K50&gt;12600000,K50&lt;=13600000),4,IF(AND(K50&gt;13600000,K50&lt;=14950000),5,IF(AND(K50&gt;14950000,K50&lt;=16400000),6,IF(AND(K50&gt;16400000,K50&lt;=18450000),7,IF(AND(K50&gt;18450000,K50&lt;=21850000),8,IF(AND(K50&gt;21850000,K50&lt;=26000000),9,IF(AND(K50&gt;26000000,K50&lt;=27700000),10,IF(AND(K50&gt;27700000,K50&lt;=29350000),11,IF(AND(K50&gt;29350000,K50&lt;=31450000),12,IF(AND(K50&gt;31450000,K50&lt;=33950000),13,IF(AND(K50&gt;33950000,K50&lt;=37100000),14,IF(AND(K50&gt;37100000,K50&lt;=41100000),15,IF(AND(K50&gt;41100000,K50&lt;=45800000),16,IF(AND(K50&gt;45800000,K50&lt;=49500000),17,IF(AND(K50&gt;49500000,K50&lt;=53800000),18,IF(AND(K50&gt;53800000,K50&lt;=58500000),19,IF(AND(K50&gt;58500000,K50&lt;=64000000),20,IF(AND(K50&gt;64000000,K50&lt;=71000000),21,IF(AND(K50&gt;71000000,K50&lt;=80000000),22,IF(AND(K50&gt;80000000,K50&lt;=93000000),23,IF(AND(K50&gt;93000000,K50&lt;=109000000),24,IF(AND(K50&gt;109000000,K50&lt;=129000000),25,IF(AND(K50&gt;129000000,K50&lt;=163000000),26,IF(AND(K50&gt;163000000,K50&lt;=211000000),27,IF(AND(K50&gt;211000000,K50&lt;=374000000),28,IF(AND(K50&gt;374000000,K50&lt;=459000000),29,IF(AND(K50&gt;459000000,K50&lt;=555000000),30,IF(AND(K50&gt;555000000,K50&lt;=704000000),31,IF(AND(K50&gt;704000000,K50&lt;=957000000),32,IF(AND(K50&gt;957000000,K50&lt;=1405000000),33,34)))))))))))))))))))))))))))))))))))))))</f>
        <v>0</v>
      </c>
      <c r="R50" s="10">
        <f>IF(K50&lt;=6600000,0,IF(AND(K50&gt;6600000,K50&lt;=6950000),0.25,IF(AND(K50&gt;6950000,K50&lt;=7350000),0.5,IF(AND(K50&gt;7350000,K50&lt;=7800000),0.75,IF(AND(K50&gt;7800000,K50&lt;=8850000),1,IF(AND(K50&gt;8850000,K50&lt;=9800000),1.25,IF(AND(K50&gt;9800000,K50&lt;=10950000),1.5,IF(AND(K50&gt;10950000,K50&lt;=11200000),1.75,IF(AND(K50&gt;11200000,K50&lt;=12050000),2,IF(AND(K50&gt;12050000,K50&lt;=12950000),3,IF(AND(K50&gt;12950000,K50&lt;=14150000),4,IF(AND(K50&gt;14150000,K50&lt;=15550000),5,IF(AND(K50&gt;15550000,K50&lt;=17050000),6,IF(AND(K50&gt;17050000,K50&lt;=19500000),7,IF(AND(K50&gt;19500000,K50&lt;=22700000),8,IF(AND(K50&gt;22700000,K50&lt;=26600000),9,IF(AND(K50&gt;26600000,K50&lt;=28100000),10,IF(AND(K50&gt;28100000,K50&lt;=30100000),11,IF(AND(K50&gt;30100000,K50&lt;=32600000),12,IF(AND(K50&gt;32600000,K50&lt;=35400000),13,IF(AND(K50&gt;35400000,K50&lt;=38900000),14,IF(AND(K50&gt;38900000,K50&lt;=43000000),15,IF(AND(K50&gt;43000000,K50&lt;=47400000),16,IF(AND(K50&gt;47400000,K50&lt;=51200000),17,IF(AND(K50&gt;51200000,K50&lt;=55800000),18,IF(AND(K50&gt;55800000,K50&lt;=60400000),19,IF(AND(K50&gt;60400000,K50&lt;=66700000),20,IF(AND(K50&gt;66700000,K50&lt;=74500000),21,IF(AND(K50&gt;74500000,K50&lt;=83200000),22,IF(AND(K50&gt;83200000,K50&lt;=95600000),23,IF(AND(K50&gt;95600000,K50&lt;=110000000),24,IF(AND(K50&gt;110000000,K50&lt;=134000000),25,IF(AND(K50&gt;134000000,K50&lt;=169000000),26,IF(AND(K50&gt;169000000,K50&lt;=221000000),27,IF(AND(K50&gt;221000000,K50&lt;=390000000),28,IF(AND(K50&gt;390000000,K50&lt;=463000000),29,IF(AND(K50&gt;463000000,K50&lt;=561000000),30,IF(AND(K50&gt;561000000,K50&lt;=709000000),31,IF(AND(K50&gt;709000000,K50&lt;=965000000),32,IF(AND(K50&gt;965000000,K50&lt;=1419000000),33,34))))))))))))))))))))))))))))))))))))))))</f>
        <v>0</v>
      </c>
      <c r="S50" s="10"/>
      <c r="T50" s="10"/>
    </row>
    <row r="51" spans="1:21">
      <c r="D51" s="1"/>
      <c r="E51" s="1"/>
      <c r="G51" s="1"/>
      <c r="H51" s="1"/>
      <c r="I51" s="1"/>
      <c r="J51" s="1"/>
      <c r="L51">
        <f>IF(OR(G51="TK/0",G51="TK/1",G51="K/0",G51="HB/0",G51="HB/1"),P51,IF(OR(G51="TK/2",G51="TK/3",G51="K/1",G51="K/2",G51="HB/2",G51="HB/3"),Q51,R51))</f>
        <v>0</v>
      </c>
      <c r="M51" s="1"/>
      <c r="N51" s="2"/>
      <c r="P51" s="10">
        <f>IF(K51&lt;=5400000,0,IF(AND(K51&gt;5400000,K51&lt;=5650000),0.25,IF(AND(K51&gt;5650000,K51&lt;=5950000),0.5,IF(AND(K51&gt;5950000,K51&lt;=6300000),0.75,IF(AND(K51&gt;6300000,K51&lt;=6750000),1,IF(AND(K51&gt;6750000,K51&lt;=7500000),1.25,IF(AND(K51&gt;7500000,K51&lt;=8550000),1.5,IF(AND(K51&gt;8550000,K51&lt;=9650000),1.75,IF(AND(K51&gt;9650000,K51&lt;=10050000),2,IF(AND(K51&gt;10050000,K51&lt;=10350000),2.25,IF(AND(K51&gt;10350000,K51&lt;=10700000),2.5,IF(AND(K51&gt;10700000,K51&lt;=11050000),3,IF(AND(K51&gt;11050000,K51&lt;=11600000),3.5,IF(AND(K51&gt;11600000,K51&lt;=12500000),4,IF(AND(K51&gt;12500000,K51&lt;=13750000),5,IF(AND(K51&gt;13750000,K51&lt;=15100000),6,IF(AND(K51&gt;15100000,K51&lt;=16950000),7,IF(AND(K51&gt;16950000,K51&lt;=19750000),8,IF(AND(K51&gt;19750000,K51&lt;=24150000),9,IF(AND(K51&gt;24150000,K51&lt;=26450000),10,IF(AND(K51&gt;26450000,K51&lt;=28000000),11,IF(AND(K51&gt;28000000,K51&lt;=30050000),12,IF(AND(K51&gt;30050000,K51&lt;=32400000),13,IF(AND(K51&gt;32400000,K51&lt;=35400000),14,IF(AND(K51&gt;35400000,K51&lt;=39100000),15,IF(AND(K51&gt;39100000,K51&lt;=43850000),16,IF(AND(K51&gt;43850000,K51&lt;=47800000),17,IF(AND(K51&gt;47800000,K51&lt;=51400000),18,IF(AND(K51&gt;51400000,K51&lt;=56300000),19,IF(AND(K51&gt;56300000,K51&lt;=62200000),20,IF(AND(K51&gt;62200000,K51&lt;=68600000),21,IF(AND(K51&gt;68600000,K51&lt;=77500000),22,IF(AND(K51&gt;77500000,K51&lt;=89000000),23,IF(AND(K51&gt;89000000,K51&lt;=103000000),24,IF(AND(K51&gt;103000000,K51&lt;=125000000),25,IF(AND(K51&gt;125000000,K51&lt;=157000000),26,IF(AND(K51&gt;157000000,K51&lt;=206000000),27,IF(AND(K51&gt;206000000,K51&lt;=337000000),28,IF(AND(K51&gt;337000000,K51&lt;=454000000),29,IF(AND(K51&gt;454000000,K51&lt;=550000000),30,IF(AND(K51&gt;550000000,K51&lt;=695000000),31,IF(AND(K51&gt;695000000,K51&lt;=910000000),32,IF(AND(K51&gt;910000000,K51&lt;=1400000000),33,34)))))))))))))))))))))))))))))))))))))))))))</f>
        <v>0</v>
      </c>
      <c r="Q51" s="10">
        <f>IF(K51&lt;=6200000,0,IF(AND(K51&gt;6200000,K51&lt;=6500000),0.25,IF(AND(K51&gt;6500000,K51&lt;=6850000),0.5,IF(AND(K51&gt;6850000,K51&lt;=7300000),0.75,IF(AND(K51&gt;7300000,K51&lt;=9200000),1,IF(AND(K51&gt;9200000,K51&lt;=10750000),1.5,IF(AND(K51&gt;10750000,K51&lt;=11250000),2,IF(AND(K51&gt;11250000,K51&lt;=11600000),2.5,IF(AND(K51&gt;11600000,K51&lt;=12600000),3,IF(AND(K51&gt;12600000,K51&lt;=13600000),4,IF(AND(K51&gt;13600000,K51&lt;=14950000),5,IF(AND(K51&gt;14950000,K51&lt;=16400000),6,IF(AND(K51&gt;16400000,K51&lt;=18450000),7,IF(AND(K51&gt;18450000,K51&lt;=21850000),8,IF(AND(K51&gt;21850000,K51&lt;=26000000),9,IF(AND(K51&gt;26000000,K51&lt;=27700000),10,IF(AND(K51&gt;27700000,K51&lt;=29350000),11,IF(AND(K51&gt;29350000,K51&lt;=31450000),12,IF(AND(K51&gt;31450000,K51&lt;=33950000),13,IF(AND(K51&gt;33950000,K51&lt;=37100000),14,IF(AND(K51&gt;37100000,K51&lt;=41100000),15,IF(AND(K51&gt;41100000,K51&lt;=45800000),16,IF(AND(K51&gt;45800000,K51&lt;=49500000),17,IF(AND(K51&gt;49500000,K51&lt;=53800000),18,IF(AND(K51&gt;53800000,K51&lt;=58500000),19,IF(AND(K51&gt;58500000,K51&lt;=64000000),20,IF(AND(K51&gt;64000000,K51&lt;=71000000),21,IF(AND(K51&gt;71000000,K51&lt;=80000000),22,IF(AND(K51&gt;80000000,K51&lt;=93000000),23,IF(AND(K51&gt;93000000,K51&lt;=109000000),24,IF(AND(K51&gt;109000000,K51&lt;=129000000),25,IF(AND(K51&gt;129000000,K51&lt;=163000000),26,IF(AND(K51&gt;163000000,K51&lt;=211000000),27,IF(AND(K51&gt;211000000,K51&lt;=374000000),28,IF(AND(K51&gt;374000000,K51&lt;=459000000),29,IF(AND(K51&gt;459000000,K51&lt;=555000000),30,IF(AND(K51&gt;555000000,K51&lt;=704000000),31,IF(AND(K51&gt;704000000,K51&lt;=957000000),32,IF(AND(K51&gt;957000000,K51&lt;=1405000000),33,34)))))))))))))))))))))))))))))))))))))))</f>
        <v>0</v>
      </c>
      <c r="R51" s="10">
        <f>IF(K51&lt;=6600000,0,IF(AND(K51&gt;6600000,K51&lt;=6950000),0.25,IF(AND(K51&gt;6950000,K51&lt;=7350000),0.5,IF(AND(K51&gt;7350000,K51&lt;=7800000),0.75,IF(AND(K51&gt;7800000,K51&lt;=8850000),1,IF(AND(K51&gt;8850000,K51&lt;=9800000),1.25,IF(AND(K51&gt;9800000,K51&lt;=10950000),1.5,IF(AND(K51&gt;10950000,K51&lt;=11200000),1.75,IF(AND(K51&gt;11200000,K51&lt;=12050000),2,IF(AND(K51&gt;12050000,K51&lt;=12950000),3,IF(AND(K51&gt;12950000,K51&lt;=14150000),4,IF(AND(K51&gt;14150000,K51&lt;=15550000),5,IF(AND(K51&gt;15550000,K51&lt;=17050000),6,IF(AND(K51&gt;17050000,K51&lt;=19500000),7,IF(AND(K51&gt;19500000,K51&lt;=22700000),8,IF(AND(K51&gt;22700000,K51&lt;=26600000),9,IF(AND(K51&gt;26600000,K51&lt;=28100000),10,IF(AND(K51&gt;28100000,K51&lt;=30100000),11,IF(AND(K51&gt;30100000,K51&lt;=32600000),12,IF(AND(K51&gt;32600000,K51&lt;=35400000),13,IF(AND(K51&gt;35400000,K51&lt;=38900000),14,IF(AND(K51&gt;38900000,K51&lt;=43000000),15,IF(AND(K51&gt;43000000,K51&lt;=47400000),16,IF(AND(K51&gt;47400000,K51&lt;=51200000),17,IF(AND(K51&gt;51200000,K51&lt;=55800000),18,IF(AND(K51&gt;55800000,K51&lt;=60400000),19,IF(AND(K51&gt;60400000,K51&lt;=66700000),20,IF(AND(K51&gt;66700000,K51&lt;=74500000),21,IF(AND(K51&gt;74500000,K51&lt;=83200000),22,IF(AND(K51&gt;83200000,K51&lt;=95600000),23,IF(AND(K51&gt;95600000,K51&lt;=110000000),24,IF(AND(K51&gt;110000000,K51&lt;=134000000),25,IF(AND(K51&gt;134000000,K51&lt;=169000000),26,IF(AND(K51&gt;169000000,K51&lt;=221000000),27,IF(AND(K51&gt;221000000,K51&lt;=390000000),28,IF(AND(K51&gt;390000000,K51&lt;=463000000),29,IF(AND(K51&gt;463000000,K51&lt;=561000000),30,IF(AND(K51&gt;561000000,K51&lt;=709000000),31,IF(AND(K51&gt;709000000,K51&lt;=965000000),32,IF(AND(K51&gt;965000000,K51&lt;=1419000000),33,34))))))))))))))))))))))))))))))))))))))))</f>
        <v>0</v>
      </c>
      <c r="S51" s="10"/>
      <c r="T51" s="10"/>
    </row>
    <row r="52" spans="1:21">
      <c r="D52" s="1"/>
      <c r="E52" s="1"/>
      <c r="G52" s="1"/>
      <c r="H52" s="1"/>
      <c r="I52" s="1"/>
      <c r="J52" s="1"/>
      <c r="L52">
        <f>IF(OR(G52="TK/0",G52="TK/1",G52="K/0",G52="HB/0",G52="HB/1"),P52,IF(OR(G52="TK/2",G52="TK/3",G52="K/1",G52="K/2",G52="HB/2",G52="HB/3"),Q52,R52))</f>
        <v>0</v>
      </c>
      <c r="M52" s="1"/>
      <c r="N52" s="2"/>
      <c r="P52" s="10">
        <f>IF(K52&lt;=5400000,0,IF(AND(K52&gt;5400000,K52&lt;=5650000),0.25,IF(AND(K52&gt;5650000,K52&lt;=5950000),0.5,IF(AND(K52&gt;5950000,K52&lt;=6300000),0.75,IF(AND(K52&gt;6300000,K52&lt;=6750000),1,IF(AND(K52&gt;6750000,K52&lt;=7500000),1.25,IF(AND(K52&gt;7500000,K52&lt;=8550000),1.5,IF(AND(K52&gt;8550000,K52&lt;=9650000),1.75,IF(AND(K52&gt;9650000,K52&lt;=10050000),2,IF(AND(K52&gt;10050000,K52&lt;=10350000),2.25,IF(AND(K52&gt;10350000,K52&lt;=10700000),2.5,IF(AND(K52&gt;10700000,K52&lt;=11050000),3,IF(AND(K52&gt;11050000,K52&lt;=11600000),3.5,IF(AND(K52&gt;11600000,K52&lt;=12500000),4,IF(AND(K52&gt;12500000,K52&lt;=13750000),5,IF(AND(K52&gt;13750000,K52&lt;=15100000),6,IF(AND(K52&gt;15100000,K52&lt;=16950000),7,IF(AND(K52&gt;16950000,K52&lt;=19750000),8,IF(AND(K52&gt;19750000,K52&lt;=24150000),9,IF(AND(K52&gt;24150000,K52&lt;=26450000),10,IF(AND(K52&gt;26450000,K52&lt;=28000000),11,IF(AND(K52&gt;28000000,K52&lt;=30050000),12,IF(AND(K52&gt;30050000,K52&lt;=32400000),13,IF(AND(K52&gt;32400000,K52&lt;=35400000),14,IF(AND(K52&gt;35400000,K52&lt;=39100000),15,IF(AND(K52&gt;39100000,K52&lt;=43850000),16,IF(AND(K52&gt;43850000,K52&lt;=47800000),17,IF(AND(K52&gt;47800000,K52&lt;=51400000),18,IF(AND(K52&gt;51400000,K52&lt;=56300000),19,IF(AND(K52&gt;56300000,K52&lt;=62200000),20,IF(AND(K52&gt;62200000,K52&lt;=68600000),21,IF(AND(K52&gt;68600000,K52&lt;=77500000),22,IF(AND(K52&gt;77500000,K52&lt;=89000000),23,IF(AND(K52&gt;89000000,K52&lt;=103000000),24,IF(AND(K52&gt;103000000,K52&lt;=125000000),25,IF(AND(K52&gt;125000000,K52&lt;=157000000),26,IF(AND(K52&gt;157000000,K52&lt;=206000000),27,IF(AND(K52&gt;206000000,K52&lt;=337000000),28,IF(AND(K52&gt;337000000,K52&lt;=454000000),29,IF(AND(K52&gt;454000000,K52&lt;=550000000),30,IF(AND(K52&gt;550000000,K52&lt;=695000000),31,IF(AND(K52&gt;695000000,K52&lt;=910000000),32,IF(AND(K52&gt;910000000,K52&lt;=1400000000),33,34)))))))))))))))))))))))))))))))))))))))))))</f>
        <v>0</v>
      </c>
      <c r="Q52" s="10">
        <f>IF(K52&lt;=6200000,0,IF(AND(K52&gt;6200000,K52&lt;=6500000),0.25,IF(AND(K52&gt;6500000,K52&lt;=6850000),0.5,IF(AND(K52&gt;6850000,K52&lt;=7300000),0.75,IF(AND(K52&gt;7300000,K52&lt;=9200000),1,IF(AND(K52&gt;9200000,K52&lt;=10750000),1.5,IF(AND(K52&gt;10750000,K52&lt;=11250000),2,IF(AND(K52&gt;11250000,K52&lt;=11600000),2.5,IF(AND(K52&gt;11600000,K52&lt;=12600000),3,IF(AND(K52&gt;12600000,K52&lt;=13600000),4,IF(AND(K52&gt;13600000,K52&lt;=14950000),5,IF(AND(K52&gt;14950000,K52&lt;=16400000),6,IF(AND(K52&gt;16400000,K52&lt;=18450000),7,IF(AND(K52&gt;18450000,K52&lt;=21850000),8,IF(AND(K52&gt;21850000,K52&lt;=26000000),9,IF(AND(K52&gt;26000000,K52&lt;=27700000),10,IF(AND(K52&gt;27700000,K52&lt;=29350000),11,IF(AND(K52&gt;29350000,K52&lt;=31450000),12,IF(AND(K52&gt;31450000,K52&lt;=33950000),13,IF(AND(K52&gt;33950000,K52&lt;=37100000),14,IF(AND(K52&gt;37100000,K52&lt;=41100000),15,IF(AND(K52&gt;41100000,K52&lt;=45800000),16,IF(AND(K52&gt;45800000,K52&lt;=49500000),17,IF(AND(K52&gt;49500000,K52&lt;=53800000),18,IF(AND(K52&gt;53800000,K52&lt;=58500000),19,IF(AND(K52&gt;58500000,K52&lt;=64000000),20,IF(AND(K52&gt;64000000,K52&lt;=71000000),21,IF(AND(K52&gt;71000000,K52&lt;=80000000),22,IF(AND(K52&gt;80000000,K52&lt;=93000000),23,IF(AND(K52&gt;93000000,K52&lt;=109000000),24,IF(AND(K52&gt;109000000,K52&lt;=129000000),25,IF(AND(K52&gt;129000000,K52&lt;=163000000),26,IF(AND(K52&gt;163000000,K52&lt;=211000000),27,IF(AND(K52&gt;211000000,K52&lt;=374000000),28,IF(AND(K52&gt;374000000,K52&lt;=459000000),29,IF(AND(K52&gt;459000000,K52&lt;=555000000),30,IF(AND(K52&gt;555000000,K52&lt;=704000000),31,IF(AND(K52&gt;704000000,K52&lt;=957000000),32,IF(AND(K52&gt;957000000,K52&lt;=1405000000),33,34)))))))))))))))))))))))))))))))))))))))</f>
        <v>0</v>
      </c>
      <c r="R52" s="10">
        <f>IF(K52&lt;=6600000,0,IF(AND(K52&gt;6600000,K52&lt;=6950000),0.25,IF(AND(K52&gt;6950000,K52&lt;=7350000),0.5,IF(AND(K52&gt;7350000,K52&lt;=7800000),0.75,IF(AND(K52&gt;7800000,K52&lt;=8850000),1,IF(AND(K52&gt;8850000,K52&lt;=9800000),1.25,IF(AND(K52&gt;9800000,K52&lt;=10950000),1.5,IF(AND(K52&gt;10950000,K52&lt;=11200000),1.75,IF(AND(K52&gt;11200000,K52&lt;=12050000),2,IF(AND(K52&gt;12050000,K52&lt;=12950000),3,IF(AND(K52&gt;12950000,K52&lt;=14150000),4,IF(AND(K52&gt;14150000,K52&lt;=15550000),5,IF(AND(K52&gt;15550000,K52&lt;=17050000),6,IF(AND(K52&gt;17050000,K52&lt;=19500000),7,IF(AND(K52&gt;19500000,K52&lt;=22700000),8,IF(AND(K52&gt;22700000,K52&lt;=26600000),9,IF(AND(K52&gt;26600000,K52&lt;=28100000),10,IF(AND(K52&gt;28100000,K52&lt;=30100000),11,IF(AND(K52&gt;30100000,K52&lt;=32600000),12,IF(AND(K52&gt;32600000,K52&lt;=35400000),13,IF(AND(K52&gt;35400000,K52&lt;=38900000),14,IF(AND(K52&gt;38900000,K52&lt;=43000000),15,IF(AND(K52&gt;43000000,K52&lt;=47400000),16,IF(AND(K52&gt;47400000,K52&lt;=51200000),17,IF(AND(K52&gt;51200000,K52&lt;=55800000),18,IF(AND(K52&gt;55800000,K52&lt;=60400000),19,IF(AND(K52&gt;60400000,K52&lt;=66700000),20,IF(AND(K52&gt;66700000,K52&lt;=74500000),21,IF(AND(K52&gt;74500000,K52&lt;=83200000),22,IF(AND(K52&gt;83200000,K52&lt;=95600000),23,IF(AND(K52&gt;95600000,K52&lt;=110000000),24,IF(AND(K52&gt;110000000,K52&lt;=134000000),25,IF(AND(K52&gt;134000000,K52&lt;=169000000),26,IF(AND(K52&gt;169000000,K52&lt;=221000000),27,IF(AND(K52&gt;221000000,K52&lt;=390000000),28,IF(AND(K52&gt;390000000,K52&lt;=463000000),29,IF(AND(K52&gt;463000000,K52&lt;=561000000),30,IF(AND(K52&gt;561000000,K52&lt;=709000000),31,IF(AND(K52&gt;709000000,K52&lt;=965000000),32,IF(AND(K52&gt;965000000,K52&lt;=1419000000),33,34))))))))))))))))))))))))))))))))))))))))</f>
        <v>0</v>
      </c>
      <c r="S52" s="10"/>
      <c r="T52" s="10"/>
    </row>
    <row r="53" spans="1:21">
      <c r="D53" s="1"/>
      <c r="E53" s="1"/>
      <c r="G53" s="1"/>
      <c r="H53" s="1"/>
      <c r="I53" s="1"/>
      <c r="J53" s="1"/>
      <c r="L53">
        <f>IF(OR(G53="TK/0",G53="TK/1",G53="K/0",G53="HB/0",G53="HB/1"),P53,IF(OR(G53="TK/2",G53="TK/3",G53="K/1",G53="K/2",G53="HB/2",G53="HB/3"),Q53,R53))</f>
        <v>0</v>
      </c>
      <c r="M53" s="1"/>
      <c r="N53" s="2"/>
      <c r="P53" s="10">
        <f>IF(K53&lt;=5400000,0,IF(AND(K53&gt;5400000,K53&lt;=5650000),0.25,IF(AND(K53&gt;5650000,K53&lt;=5950000),0.5,IF(AND(K53&gt;5950000,K53&lt;=6300000),0.75,IF(AND(K53&gt;6300000,K53&lt;=6750000),1,IF(AND(K53&gt;6750000,K53&lt;=7500000),1.25,IF(AND(K53&gt;7500000,K53&lt;=8550000),1.5,IF(AND(K53&gt;8550000,K53&lt;=9650000),1.75,IF(AND(K53&gt;9650000,K53&lt;=10050000),2,IF(AND(K53&gt;10050000,K53&lt;=10350000),2.25,IF(AND(K53&gt;10350000,K53&lt;=10700000),2.5,IF(AND(K53&gt;10700000,K53&lt;=11050000),3,IF(AND(K53&gt;11050000,K53&lt;=11600000),3.5,IF(AND(K53&gt;11600000,K53&lt;=12500000),4,IF(AND(K53&gt;12500000,K53&lt;=13750000),5,IF(AND(K53&gt;13750000,K53&lt;=15100000),6,IF(AND(K53&gt;15100000,K53&lt;=16950000),7,IF(AND(K53&gt;16950000,K53&lt;=19750000),8,IF(AND(K53&gt;19750000,K53&lt;=24150000),9,IF(AND(K53&gt;24150000,K53&lt;=26450000),10,IF(AND(K53&gt;26450000,K53&lt;=28000000),11,IF(AND(K53&gt;28000000,K53&lt;=30050000),12,IF(AND(K53&gt;30050000,K53&lt;=32400000),13,IF(AND(K53&gt;32400000,K53&lt;=35400000),14,IF(AND(K53&gt;35400000,K53&lt;=39100000),15,IF(AND(K53&gt;39100000,K53&lt;=43850000),16,IF(AND(K53&gt;43850000,K53&lt;=47800000),17,IF(AND(K53&gt;47800000,K53&lt;=51400000),18,IF(AND(K53&gt;51400000,K53&lt;=56300000),19,IF(AND(K53&gt;56300000,K53&lt;=62200000),20,IF(AND(K53&gt;62200000,K53&lt;=68600000),21,IF(AND(K53&gt;68600000,K53&lt;=77500000),22,IF(AND(K53&gt;77500000,K53&lt;=89000000),23,IF(AND(K53&gt;89000000,K53&lt;=103000000),24,IF(AND(K53&gt;103000000,K53&lt;=125000000),25,IF(AND(K53&gt;125000000,K53&lt;=157000000),26,IF(AND(K53&gt;157000000,K53&lt;=206000000),27,IF(AND(K53&gt;206000000,K53&lt;=337000000),28,IF(AND(K53&gt;337000000,K53&lt;=454000000),29,IF(AND(K53&gt;454000000,K53&lt;=550000000),30,IF(AND(K53&gt;550000000,K53&lt;=695000000),31,IF(AND(K53&gt;695000000,K53&lt;=910000000),32,IF(AND(K53&gt;910000000,K53&lt;=1400000000),33,34)))))))))))))))))))))))))))))))))))))))))))</f>
        <v>0</v>
      </c>
      <c r="Q53" s="10">
        <f>IF(K53&lt;=6200000,0,IF(AND(K53&gt;6200000,K53&lt;=6500000),0.25,IF(AND(K53&gt;6500000,K53&lt;=6850000),0.5,IF(AND(K53&gt;6850000,K53&lt;=7300000),0.75,IF(AND(K53&gt;7300000,K53&lt;=9200000),1,IF(AND(K53&gt;9200000,K53&lt;=10750000),1.5,IF(AND(K53&gt;10750000,K53&lt;=11250000),2,IF(AND(K53&gt;11250000,K53&lt;=11600000),2.5,IF(AND(K53&gt;11600000,K53&lt;=12600000),3,IF(AND(K53&gt;12600000,K53&lt;=13600000),4,IF(AND(K53&gt;13600000,K53&lt;=14950000),5,IF(AND(K53&gt;14950000,K53&lt;=16400000),6,IF(AND(K53&gt;16400000,K53&lt;=18450000),7,IF(AND(K53&gt;18450000,K53&lt;=21850000),8,IF(AND(K53&gt;21850000,K53&lt;=26000000),9,IF(AND(K53&gt;26000000,K53&lt;=27700000),10,IF(AND(K53&gt;27700000,K53&lt;=29350000),11,IF(AND(K53&gt;29350000,K53&lt;=31450000),12,IF(AND(K53&gt;31450000,K53&lt;=33950000),13,IF(AND(K53&gt;33950000,K53&lt;=37100000),14,IF(AND(K53&gt;37100000,K53&lt;=41100000),15,IF(AND(K53&gt;41100000,K53&lt;=45800000),16,IF(AND(K53&gt;45800000,K53&lt;=49500000),17,IF(AND(K53&gt;49500000,K53&lt;=53800000),18,IF(AND(K53&gt;53800000,K53&lt;=58500000),19,IF(AND(K53&gt;58500000,K53&lt;=64000000),20,IF(AND(K53&gt;64000000,K53&lt;=71000000),21,IF(AND(K53&gt;71000000,K53&lt;=80000000),22,IF(AND(K53&gt;80000000,K53&lt;=93000000),23,IF(AND(K53&gt;93000000,K53&lt;=109000000),24,IF(AND(K53&gt;109000000,K53&lt;=129000000),25,IF(AND(K53&gt;129000000,K53&lt;=163000000),26,IF(AND(K53&gt;163000000,K53&lt;=211000000),27,IF(AND(K53&gt;211000000,K53&lt;=374000000),28,IF(AND(K53&gt;374000000,K53&lt;=459000000),29,IF(AND(K53&gt;459000000,K53&lt;=555000000),30,IF(AND(K53&gt;555000000,K53&lt;=704000000),31,IF(AND(K53&gt;704000000,K53&lt;=957000000),32,IF(AND(K53&gt;957000000,K53&lt;=1405000000),33,34)))))))))))))))))))))))))))))))))))))))</f>
        <v>0</v>
      </c>
      <c r="R53" s="10">
        <f>IF(K53&lt;=6600000,0,IF(AND(K53&gt;6600000,K53&lt;=6950000),0.25,IF(AND(K53&gt;6950000,K53&lt;=7350000),0.5,IF(AND(K53&gt;7350000,K53&lt;=7800000),0.75,IF(AND(K53&gt;7800000,K53&lt;=8850000),1,IF(AND(K53&gt;8850000,K53&lt;=9800000),1.25,IF(AND(K53&gt;9800000,K53&lt;=10950000),1.5,IF(AND(K53&gt;10950000,K53&lt;=11200000),1.75,IF(AND(K53&gt;11200000,K53&lt;=12050000),2,IF(AND(K53&gt;12050000,K53&lt;=12950000),3,IF(AND(K53&gt;12950000,K53&lt;=14150000),4,IF(AND(K53&gt;14150000,K53&lt;=15550000),5,IF(AND(K53&gt;15550000,K53&lt;=17050000),6,IF(AND(K53&gt;17050000,K53&lt;=19500000),7,IF(AND(K53&gt;19500000,K53&lt;=22700000),8,IF(AND(K53&gt;22700000,K53&lt;=26600000),9,IF(AND(K53&gt;26600000,K53&lt;=28100000),10,IF(AND(K53&gt;28100000,K53&lt;=30100000),11,IF(AND(K53&gt;30100000,K53&lt;=32600000),12,IF(AND(K53&gt;32600000,K53&lt;=35400000),13,IF(AND(K53&gt;35400000,K53&lt;=38900000),14,IF(AND(K53&gt;38900000,K53&lt;=43000000),15,IF(AND(K53&gt;43000000,K53&lt;=47400000),16,IF(AND(K53&gt;47400000,K53&lt;=51200000),17,IF(AND(K53&gt;51200000,K53&lt;=55800000),18,IF(AND(K53&gt;55800000,K53&lt;=60400000),19,IF(AND(K53&gt;60400000,K53&lt;=66700000),20,IF(AND(K53&gt;66700000,K53&lt;=74500000),21,IF(AND(K53&gt;74500000,K53&lt;=83200000),22,IF(AND(K53&gt;83200000,K53&lt;=95600000),23,IF(AND(K53&gt;95600000,K53&lt;=110000000),24,IF(AND(K53&gt;110000000,K53&lt;=134000000),25,IF(AND(K53&gt;134000000,K53&lt;=169000000),26,IF(AND(K53&gt;169000000,K53&lt;=221000000),27,IF(AND(K53&gt;221000000,K53&lt;=390000000),28,IF(AND(K53&gt;390000000,K53&lt;=463000000),29,IF(AND(K53&gt;463000000,K53&lt;=561000000),30,IF(AND(K53&gt;561000000,K53&lt;=709000000),31,IF(AND(K53&gt;709000000,K53&lt;=965000000),32,IF(AND(K53&gt;965000000,K53&lt;=1419000000),33,34))))))))))))))))))))))))))))))))))))))))</f>
        <v>0</v>
      </c>
      <c r="S53" s="10"/>
      <c r="T53" s="10"/>
    </row>
    <row r="54" spans="1:21">
      <c r="D54" s="1"/>
      <c r="E54" s="1"/>
      <c r="G54" s="1"/>
      <c r="H54" s="1"/>
      <c r="I54" s="1"/>
      <c r="J54" s="1"/>
      <c r="L54">
        <f>IF(OR(G54="TK/0",G54="TK/1",G54="K/0",G54="HB/0",G54="HB/1"),P54,IF(OR(G54="TK/2",G54="TK/3",G54="K/1",G54="K/2",G54="HB/2",G54="HB/3"),Q54,R54))</f>
        <v>0</v>
      </c>
      <c r="M54" s="1"/>
      <c r="N54" s="2"/>
      <c r="P54" s="10">
        <f>IF(K54&lt;=5400000,0,IF(AND(K54&gt;5400000,K54&lt;=5650000),0.25,IF(AND(K54&gt;5650000,K54&lt;=5950000),0.5,IF(AND(K54&gt;5950000,K54&lt;=6300000),0.75,IF(AND(K54&gt;6300000,K54&lt;=6750000),1,IF(AND(K54&gt;6750000,K54&lt;=7500000),1.25,IF(AND(K54&gt;7500000,K54&lt;=8550000),1.5,IF(AND(K54&gt;8550000,K54&lt;=9650000),1.75,IF(AND(K54&gt;9650000,K54&lt;=10050000),2,IF(AND(K54&gt;10050000,K54&lt;=10350000),2.25,IF(AND(K54&gt;10350000,K54&lt;=10700000),2.5,IF(AND(K54&gt;10700000,K54&lt;=11050000),3,IF(AND(K54&gt;11050000,K54&lt;=11600000),3.5,IF(AND(K54&gt;11600000,K54&lt;=12500000),4,IF(AND(K54&gt;12500000,K54&lt;=13750000),5,IF(AND(K54&gt;13750000,K54&lt;=15100000),6,IF(AND(K54&gt;15100000,K54&lt;=16950000),7,IF(AND(K54&gt;16950000,K54&lt;=19750000),8,IF(AND(K54&gt;19750000,K54&lt;=24150000),9,IF(AND(K54&gt;24150000,K54&lt;=26450000),10,IF(AND(K54&gt;26450000,K54&lt;=28000000),11,IF(AND(K54&gt;28000000,K54&lt;=30050000),12,IF(AND(K54&gt;30050000,K54&lt;=32400000),13,IF(AND(K54&gt;32400000,K54&lt;=35400000),14,IF(AND(K54&gt;35400000,K54&lt;=39100000),15,IF(AND(K54&gt;39100000,K54&lt;=43850000),16,IF(AND(K54&gt;43850000,K54&lt;=47800000),17,IF(AND(K54&gt;47800000,K54&lt;=51400000),18,IF(AND(K54&gt;51400000,K54&lt;=56300000),19,IF(AND(K54&gt;56300000,K54&lt;=62200000),20,IF(AND(K54&gt;62200000,K54&lt;=68600000),21,IF(AND(K54&gt;68600000,K54&lt;=77500000),22,IF(AND(K54&gt;77500000,K54&lt;=89000000),23,IF(AND(K54&gt;89000000,K54&lt;=103000000),24,IF(AND(K54&gt;103000000,K54&lt;=125000000),25,IF(AND(K54&gt;125000000,K54&lt;=157000000),26,IF(AND(K54&gt;157000000,K54&lt;=206000000),27,IF(AND(K54&gt;206000000,K54&lt;=337000000),28,IF(AND(K54&gt;337000000,K54&lt;=454000000),29,IF(AND(K54&gt;454000000,K54&lt;=550000000),30,IF(AND(K54&gt;550000000,K54&lt;=695000000),31,IF(AND(K54&gt;695000000,K54&lt;=910000000),32,IF(AND(K54&gt;910000000,K54&lt;=1400000000),33,34)))))))))))))))))))))))))))))))))))))))))))</f>
        <v>0</v>
      </c>
      <c r="Q54" s="10">
        <f>IF(K54&lt;=6200000,0,IF(AND(K54&gt;6200000,K54&lt;=6500000),0.25,IF(AND(K54&gt;6500000,K54&lt;=6850000),0.5,IF(AND(K54&gt;6850000,K54&lt;=7300000),0.75,IF(AND(K54&gt;7300000,K54&lt;=9200000),1,IF(AND(K54&gt;9200000,K54&lt;=10750000),1.5,IF(AND(K54&gt;10750000,K54&lt;=11250000),2,IF(AND(K54&gt;11250000,K54&lt;=11600000),2.5,IF(AND(K54&gt;11600000,K54&lt;=12600000),3,IF(AND(K54&gt;12600000,K54&lt;=13600000),4,IF(AND(K54&gt;13600000,K54&lt;=14950000),5,IF(AND(K54&gt;14950000,K54&lt;=16400000),6,IF(AND(K54&gt;16400000,K54&lt;=18450000),7,IF(AND(K54&gt;18450000,K54&lt;=21850000),8,IF(AND(K54&gt;21850000,K54&lt;=26000000),9,IF(AND(K54&gt;26000000,K54&lt;=27700000),10,IF(AND(K54&gt;27700000,K54&lt;=29350000),11,IF(AND(K54&gt;29350000,K54&lt;=31450000),12,IF(AND(K54&gt;31450000,K54&lt;=33950000),13,IF(AND(K54&gt;33950000,K54&lt;=37100000),14,IF(AND(K54&gt;37100000,K54&lt;=41100000),15,IF(AND(K54&gt;41100000,K54&lt;=45800000),16,IF(AND(K54&gt;45800000,K54&lt;=49500000),17,IF(AND(K54&gt;49500000,K54&lt;=53800000),18,IF(AND(K54&gt;53800000,K54&lt;=58500000),19,IF(AND(K54&gt;58500000,K54&lt;=64000000),20,IF(AND(K54&gt;64000000,K54&lt;=71000000),21,IF(AND(K54&gt;71000000,K54&lt;=80000000),22,IF(AND(K54&gt;80000000,K54&lt;=93000000),23,IF(AND(K54&gt;93000000,K54&lt;=109000000),24,IF(AND(K54&gt;109000000,K54&lt;=129000000),25,IF(AND(K54&gt;129000000,K54&lt;=163000000),26,IF(AND(K54&gt;163000000,K54&lt;=211000000),27,IF(AND(K54&gt;211000000,K54&lt;=374000000),28,IF(AND(K54&gt;374000000,K54&lt;=459000000),29,IF(AND(K54&gt;459000000,K54&lt;=555000000),30,IF(AND(K54&gt;555000000,K54&lt;=704000000),31,IF(AND(K54&gt;704000000,K54&lt;=957000000),32,IF(AND(K54&gt;957000000,K54&lt;=1405000000),33,34)))))))))))))))))))))))))))))))))))))))</f>
        <v>0</v>
      </c>
      <c r="R54" s="10">
        <f>IF(K54&lt;=6600000,0,IF(AND(K54&gt;6600000,K54&lt;=6950000),0.25,IF(AND(K54&gt;6950000,K54&lt;=7350000),0.5,IF(AND(K54&gt;7350000,K54&lt;=7800000),0.75,IF(AND(K54&gt;7800000,K54&lt;=8850000),1,IF(AND(K54&gt;8850000,K54&lt;=9800000),1.25,IF(AND(K54&gt;9800000,K54&lt;=10950000),1.5,IF(AND(K54&gt;10950000,K54&lt;=11200000),1.75,IF(AND(K54&gt;11200000,K54&lt;=12050000),2,IF(AND(K54&gt;12050000,K54&lt;=12950000),3,IF(AND(K54&gt;12950000,K54&lt;=14150000),4,IF(AND(K54&gt;14150000,K54&lt;=15550000),5,IF(AND(K54&gt;15550000,K54&lt;=17050000),6,IF(AND(K54&gt;17050000,K54&lt;=19500000),7,IF(AND(K54&gt;19500000,K54&lt;=22700000),8,IF(AND(K54&gt;22700000,K54&lt;=26600000),9,IF(AND(K54&gt;26600000,K54&lt;=28100000),10,IF(AND(K54&gt;28100000,K54&lt;=30100000),11,IF(AND(K54&gt;30100000,K54&lt;=32600000),12,IF(AND(K54&gt;32600000,K54&lt;=35400000),13,IF(AND(K54&gt;35400000,K54&lt;=38900000),14,IF(AND(K54&gt;38900000,K54&lt;=43000000),15,IF(AND(K54&gt;43000000,K54&lt;=47400000),16,IF(AND(K54&gt;47400000,K54&lt;=51200000),17,IF(AND(K54&gt;51200000,K54&lt;=55800000),18,IF(AND(K54&gt;55800000,K54&lt;=60400000),19,IF(AND(K54&gt;60400000,K54&lt;=66700000),20,IF(AND(K54&gt;66700000,K54&lt;=74500000),21,IF(AND(K54&gt;74500000,K54&lt;=83200000),22,IF(AND(K54&gt;83200000,K54&lt;=95600000),23,IF(AND(K54&gt;95600000,K54&lt;=110000000),24,IF(AND(K54&gt;110000000,K54&lt;=134000000),25,IF(AND(K54&gt;134000000,K54&lt;=169000000),26,IF(AND(K54&gt;169000000,K54&lt;=221000000),27,IF(AND(K54&gt;221000000,K54&lt;=390000000),28,IF(AND(K54&gt;390000000,K54&lt;=463000000),29,IF(AND(K54&gt;463000000,K54&lt;=561000000),30,IF(AND(K54&gt;561000000,K54&lt;=709000000),31,IF(AND(K54&gt;709000000,K54&lt;=965000000),32,IF(AND(K54&gt;965000000,K54&lt;=1419000000),33,34))))))))))))))))))))))))))))))))))))))))</f>
        <v>0</v>
      </c>
      <c r="S54" s="10"/>
      <c r="T54" s="10"/>
    </row>
    <row r="55" spans="1:21">
      <c r="D55" s="1"/>
      <c r="E55" s="1"/>
      <c r="G55" s="1"/>
      <c r="H55" s="1"/>
      <c r="I55" s="1"/>
      <c r="J55" s="1"/>
      <c r="L55">
        <f>IF(OR(G55="TK/0",G55="TK/1",G55="K/0",G55="HB/0",G55="HB/1"),P55,IF(OR(G55="TK/2",G55="TK/3",G55="K/1",G55="K/2",G55="HB/2",G55="HB/3"),Q55,R55))</f>
        <v>0</v>
      </c>
      <c r="M55" s="1"/>
      <c r="N55" s="2"/>
      <c r="P55" s="10">
        <f>IF(K55&lt;=5400000,0,IF(AND(K55&gt;5400000,K55&lt;=5650000),0.25,IF(AND(K55&gt;5650000,K55&lt;=5950000),0.5,IF(AND(K55&gt;5950000,K55&lt;=6300000),0.75,IF(AND(K55&gt;6300000,K55&lt;=6750000),1,IF(AND(K55&gt;6750000,K55&lt;=7500000),1.25,IF(AND(K55&gt;7500000,K55&lt;=8550000),1.5,IF(AND(K55&gt;8550000,K55&lt;=9650000),1.75,IF(AND(K55&gt;9650000,K55&lt;=10050000),2,IF(AND(K55&gt;10050000,K55&lt;=10350000),2.25,IF(AND(K55&gt;10350000,K55&lt;=10700000),2.5,IF(AND(K55&gt;10700000,K55&lt;=11050000),3,IF(AND(K55&gt;11050000,K55&lt;=11600000),3.5,IF(AND(K55&gt;11600000,K55&lt;=12500000),4,IF(AND(K55&gt;12500000,K55&lt;=13750000),5,IF(AND(K55&gt;13750000,K55&lt;=15100000),6,IF(AND(K55&gt;15100000,K55&lt;=16950000),7,IF(AND(K55&gt;16950000,K55&lt;=19750000),8,IF(AND(K55&gt;19750000,K55&lt;=24150000),9,IF(AND(K55&gt;24150000,K55&lt;=26450000),10,IF(AND(K55&gt;26450000,K55&lt;=28000000),11,IF(AND(K55&gt;28000000,K55&lt;=30050000),12,IF(AND(K55&gt;30050000,K55&lt;=32400000),13,IF(AND(K55&gt;32400000,K55&lt;=35400000),14,IF(AND(K55&gt;35400000,K55&lt;=39100000),15,IF(AND(K55&gt;39100000,K55&lt;=43850000),16,IF(AND(K55&gt;43850000,K55&lt;=47800000),17,IF(AND(K55&gt;47800000,K55&lt;=51400000),18,IF(AND(K55&gt;51400000,K55&lt;=56300000),19,IF(AND(K55&gt;56300000,K55&lt;=62200000),20,IF(AND(K55&gt;62200000,K55&lt;=68600000),21,IF(AND(K55&gt;68600000,K55&lt;=77500000),22,IF(AND(K55&gt;77500000,K55&lt;=89000000),23,IF(AND(K55&gt;89000000,K55&lt;=103000000),24,IF(AND(K55&gt;103000000,K55&lt;=125000000),25,IF(AND(K55&gt;125000000,K55&lt;=157000000),26,IF(AND(K55&gt;157000000,K55&lt;=206000000),27,IF(AND(K55&gt;206000000,K55&lt;=337000000),28,IF(AND(K55&gt;337000000,K55&lt;=454000000),29,IF(AND(K55&gt;454000000,K55&lt;=550000000),30,IF(AND(K55&gt;550000000,K55&lt;=695000000),31,IF(AND(K55&gt;695000000,K55&lt;=910000000),32,IF(AND(K55&gt;910000000,K55&lt;=1400000000),33,34)))))))))))))))))))))))))))))))))))))))))))</f>
        <v>0</v>
      </c>
      <c r="Q55" s="10">
        <f>IF(K55&lt;=6200000,0,IF(AND(K55&gt;6200000,K55&lt;=6500000),0.25,IF(AND(K55&gt;6500000,K55&lt;=6850000),0.5,IF(AND(K55&gt;6850000,K55&lt;=7300000),0.75,IF(AND(K55&gt;7300000,K55&lt;=9200000),1,IF(AND(K55&gt;9200000,K55&lt;=10750000),1.5,IF(AND(K55&gt;10750000,K55&lt;=11250000),2,IF(AND(K55&gt;11250000,K55&lt;=11600000),2.5,IF(AND(K55&gt;11600000,K55&lt;=12600000),3,IF(AND(K55&gt;12600000,K55&lt;=13600000),4,IF(AND(K55&gt;13600000,K55&lt;=14950000),5,IF(AND(K55&gt;14950000,K55&lt;=16400000),6,IF(AND(K55&gt;16400000,K55&lt;=18450000),7,IF(AND(K55&gt;18450000,K55&lt;=21850000),8,IF(AND(K55&gt;21850000,K55&lt;=26000000),9,IF(AND(K55&gt;26000000,K55&lt;=27700000),10,IF(AND(K55&gt;27700000,K55&lt;=29350000),11,IF(AND(K55&gt;29350000,K55&lt;=31450000),12,IF(AND(K55&gt;31450000,K55&lt;=33950000),13,IF(AND(K55&gt;33950000,K55&lt;=37100000),14,IF(AND(K55&gt;37100000,K55&lt;=41100000),15,IF(AND(K55&gt;41100000,K55&lt;=45800000),16,IF(AND(K55&gt;45800000,K55&lt;=49500000),17,IF(AND(K55&gt;49500000,K55&lt;=53800000),18,IF(AND(K55&gt;53800000,K55&lt;=58500000),19,IF(AND(K55&gt;58500000,K55&lt;=64000000),20,IF(AND(K55&gt;64000000,K55&lt;=71000000),21,IF(AND(K55&gt;71000000,K55&lt;=80000000),22,IF(AND(K55&gt;80000000,K55&lt;=93000000),23,IF(AND(K55&gt;93000000,K55&lt;=109000000),24,IF(AND(K55&gt;109000000,K55&lt;=129000000),25,IF(AND(K55&gt;129000000,K55&lt;=163000000),26,IF(AND(K55&gt;163000000,K55&lt;=211000000),27,IF(AND(K55&gt;211000000,K55&lt;=374000000),28,IF(AND(K55&gt;374000000,K55&lt;=459000000),29,IF(AND(K55&gt;459000000,K55&lt;=555000000),30,IF(AND(K55&gt;555000000,K55&lt;=704000000),31,IF(AND(K55&gt;704000000,K55&lt;=957000000),32,IF(AND(K55&gt;957000000,K55&lt;=1405000000),33,34)))))))))))))))))))))))))))))))))))))))</f>
        <v>0</v>
      </c>
      <c r="R55" s="10">
        <f>IF(K55&lt;=6600000,0,IF(AND(K55&gt;6600000,K55&lt;=6950000),0.25,IF(AND(K55&gt;6950000,K55&lt;=7350000),0.5,IF(AND(K55&gt;7350000,K55&lt;=7800000),0.75,IF(AND(K55&gt;7800000,K55&lt;=8850000),1,IF(AND(K55&gt;8850000,K55&lt;=9800000),1.25,IF(AND(K55&gt;9800000,K55&lt;=10950000),1.5,IF(AND(K55&gt;10950000,K55&lt;=11200000),1.75,IF(AND(K55&gt;11200000,K55&lt;=12050000),2,IF(AND(K55&gt;12050000,K55&lt;=12950000),3,IF(AND(K55&gt;12950000,K55&lt;=14150000),4,IF(AND(K55&gt;14150000,K55&lt;=15550000),5,IF(AND(K55&gt;15550000,K55&lt;=17050000),6,IF(AND(K55&gt;17050000,K55&lt;=19500000),7,IF(AND(K55&gt;19500000,K55&lt;=22700000),8,IF(AND(K55&gt;22700000,K55&lt;=26600000),9,IF(AND(K55&gt;26600000,K55&lt;=28100000),10,IF(AND(K55&gt;28100000,K55&lt;=30100000),11,IF(AND(K55&gt;30100000,K55&lt;=32600000),12,IF(AND(K55&gt;32600000,K55&lt;=35400000),13,IF(AND(K55&gt;35400000,K55&lt;=38900000),14,IF(AND(K55&gt;38900000,K55&lt;=43000000),15,IF(AND(K55&gt;43000000,K55&lt;=47400000),16,IF(AND(K55&gt;47400000,K55&lt;=51200000),17,IF(AND(K55&gt;51200000,K55&lt;=55800000),18,IF(AND(K55&gt;55800000,K55&lt;=60400000),19,IF(AND(K55&gt;60400000,K55&lt;=66700000),20,IF(AND(K55&gt;66700000,K55&lt;=74500000),21,IF(AND(K55&gt;74500000,K55&lt;=83200000),22,IF(AND(K55&gt;83200000,K55&lt;=95600000),23,IF(AND(K55&gt;95600000,K55&lt;=110000000),24,IF(AND(K55&gt;110000000,K55&lt;=134000000),25,IF(AND(K55&gt;134000000,K55&lt;=169000000),26,IF(AND(K55&gt;169000000,K55&lt;=221000000),27,IF(AND(K55&gt;221000000,K55&lt;=390000000),28,IF(AND(K55&gt;390000000,K55&lt;=463000000),29,IF(AND(K55&gt;463000000,K55&lt;=561000000),30,IF(AND(K55&gt;561000000,K55&lt;=709000000),31,IF(AND(K55&gt;709000000,K55&lt;=965000000),32,IF(AND(K55&gt;965000000,K55&lt;=1419000000),33,34))))))))))))))))))))))))))))))))))))))))</f>
        <v>0</v>
      </c>
      <c r="S55" s="10"/>
      <c r="T55" s="10"/>
    </row>
    <row r="56" spans="1:21">
      <c r="D56" s="1"/>
      <c r="E56" s="1"/>
      <c r="G56" s="1"/>
      <c r="H56" s="1"/>
      <c r="I56" s="1"/>
      <c r="J56" s="1"/>
      <c r="L56">
        <f>IF(OR(G56="TK/0",G56="TK/1",G56="K/0",G56="HB/0",G56="HB/1"),P56,IF(OR(G56="TK/2",G56="TK/3",G56="K/1",G56="K/2",G56="HB/2",G56="HB/3"),Q56,R56))</f>
        <v>0</v>
      </c>
      <c r="M56" s="1"/>
      <c r="N56" s="2"/>
      <c r="P56" s="10">
        <f>IF(K56&lt;=5400000,0,IF(AND(K56&gt;5400000,K56&lt;=5650000),0.25,IF(AND(K56&gt;5650000,K56&lt;=5950000),0.5,IF(AND(K56&gt;5950000,K56&lt;=6300000),0.75,IF(AND(K56&gt;6300000,K56&lt;=6750000),1,IF(AND(K56&gt;6750000,K56&lt;=7500000),1.25,IF(AND(K56&gt;7500000,K56&lt;=8550000),1.5,IF(AND(K56&gt;8550000,K56&lt;=9650000),1.75,IF(AND(K56&gt;9650000,K56&lt;=10050000),2,IF(AND(K56&gt;10050000,K56&lt;=10350000),2.25,IF(AND(K56&gt;10350000,K56&lt;=10700000),2.5,IF(AND(K56&gt;10700000,K56&lt;=11050000),3,IF(AND(K56&gt;11050000,K56&lt;=11600000),3.5,IF(AND(K56&gt;11600000,K56&lt;=12500000),4,IF(AND(K56&gt;12500000,K56&lt;=13750000),5,IF(AND(K56&gt;13750000,K56&lt;=15100000),6,IF(AND(K56&gt;15100000,K56&lt;=16950000),7,IF(AND(K56&gt;16950000,K56&lt;=19750000),8,IF(AND(K56&gt;19750000,K56&lt;=24150000),9,IF(AND(K56&gt;24150000,K56&lt;=26450000),10,IF(AND(K56&gt;26450000,K56&lt;=28000000),11,IF(AND(K56&gt;28000000,K56&lt;=30050000),12,IF(AND(K56&gt;30050000,K56&lt;=32400000),13,IF(AND(K56&gt;32400000,K56&lt;=35400000),14,IF(AND(K56&gt;35400000,K56&lt;=39100000),15,IF(AND(K56&gt;39100000,K56&lt;=43850000),16,IF(AND(K56&gt;43850000,K56&lt;=47800000),17,IF(AND(K56&gt;47800000,K56&lt;=51400000),18,IF(AND(K56&gt;51400000,K56&lt;=56300000),19,IF(AND(K56&gt;56300000,K56&lt;=62200000),20,IF(AND(K56&gt;62200000,K56&lt;=68600000),21,IF(AND(K56&gt;68600000,K56&lt;=77500000),22,IF(AND(K56&gt;77500000,K56&lt;=89000000),23,IF(AND(K56&gt;89000000,K56&lt;=103000000),24,IF(AND(K56&gt;103000000,K56&lt;=125000000),25,IF(AND(K56&gt;125000000,K56&lt;=157000000),26,IF(AND(K56&gt;157000000,K56&lt;=206000000),27,IF(AND(K56&gt;206000000,K56&lt;=337000000),28,IF(AND(K56&gt;337000000,K56&lt;=454000000),29,IF(AND(K56&gt;454000000,K56&lt;=550000000),30,IF(AND(K56&gt;550000000,K56&lt;=695000000),31,IF(AND(K56&gt;695000000,K56&lt;=910000000),32,IF(AND(K56&gt;910000000,K56&lt;=1400000000),33,34)))))))))))))))))))))))))))))))))))))))))))</f>
        <v>0</v>
      </c>
      <c r="Q56" s="10">
        <f>IF(K56&lt;=6200000,0,IF(AND(K56&gt;6200000,K56&lt;=6500000),0.25,IF(AND(K56&gt;6500000,K56&lt;=6850000),0.5,IF(AND(K56&gt;6850000,K56&lt;=7300000),0.75,IF(AND(K56&gt;7300000,K56&lt;=9200000),1,IF(AND(K56&gt;9200000,K56&lt;=10750000),1.5,IF(AND(K56&gt;10750000,K56&lt;=11250000),2,IF(AND(K56&gt;11250000,K56&lt;=11600000),2.5,IF(AND(K56&gt;11600000,K56&lt;=12600000),3,IF(AND(K56&gt;12600000,K56&lt;=13600000),4,IF(AND(K56&gt;13600000,K56&lt;=14950000),5,IF(AND(K56&gt;14950000,K56&lt;=16400000),6,IF(AND(K56&gt;16400000,K56&lt;=18450000),7,IF(AND(K56&gt;18450000,K56&lt;=21850000),8,IF(AND(K56&gt;21850000,K56&lt;=26000000),9,IF(AND(K56&gt;26000000,K56&lt;=27700000),10,IF(AND(K56&gt;27700000,K56&lt;=29350000),11,IF(AND(K56&gt;29350000,K56&lt;=31450000),12,IF(AND(K56&gt;31450000,K56&lt;=33950000),13,IF(AND(K56&gt;33950000,K56&lt;=37100000),14,IF(AND(K56&gt;37100000,K56&lt;=41100000),15,IF(AND(K56&gt;41100000,K56&lt;=45800000),16,IF(AND(K56&gt;45800000,K56&lt;=49500000),17,IF(AND(K56&gt;49500000,K56&lt;=53800000),18,IF(AND(K56&gt;53800000,K56&lt;=58500000),19,IF(AND(K56&gt;58500000,K56&lt;=64000000),20,IF(AND(K56&gt;64000000,K56&lt;=71000000),21,IF(AND(K56&gt;71000000,K56&lt;=80000000),22,IF(AND(K56&gt;80000000,K56&lt;=93000000),23,IF(AND(K56&gt;93000000,K56&lt;=109000000),24,IF(AND(K56&gt;109000000,K56&lt;=129000000),25,IF(AND(K56&gt;129000000,K56&lt;=163000000),26,IF(AND(K56&gt;163000000,K56&lt;=211000000),27,IF(AND(K56&gt;211000000,K56&lt;=374000000),28,IF(AND(K56&gt;374000000,K56&lt;=459000000),29,IF(AND(K56&gt;459000000,K56&lt;=555000000),30,IF(AND(K56&gt;555000000,K56&lt;=704000000),31,IF(AND(K56&gt;704000000,K56&lt;=957000000),32,IF(AND(K56&gt;957000000,K56&lt;=1405000000),33,34)))))))))))))))))))))))))))))))))))))))</f>
        <v>0</v>
      </c>
      <c r="R56" s="10">
        <f>IF(K56&lt;=6600000,0,IF(AND(K56&gt;6600000,K56&lt;=6950000),0.25,IF(AND(K56&gt;6950000,K56&lt;=7350000),0.5,IF(AND(K56&gt;7350000,K56&lt;=7800000),0.75,IF(AND(K56&gt;7800000,K56&lt;=8850000),1,IF(AND(K56&gt;8850000,K56&lt;=9800000),1.25,IF(AND(K56&gt;9800000,K56&lt;=10950000),1.5,IF(AND(K56&gt;10950000,K56&lt;=11200000),1.75,IF(AND(K56&gt;11200000,K56&lt;=12050000),2,IF(AND(K56&gt;12050000,K56&lt;=12950000),3,IF(AND(K56&gt;12950000,K56&lt;=14150000),4,IF(AND(K56&gt;14150000,K56&lt;=15550000),5,IF(AND(K56&gt;15550000,K56&lt;=17050000),6,IF(AND(K56&gt;17050000,K56&lt;=19500000),7,IF(AND(K56&gt;19500000,K56&lt;=22700000),8,IF(AND(K56&gt;22700000,K56&lt;=26600000),9,IF(AND(K56&gt;26600000,K56&lt;=28100000),10,IF(AND(K56&gt;28100000,K56&lt;=30100000),11,IF(AND(K56&gt;30100000,K56&lt;=32600000),12,IF(AND(K56&gt;32600000,K56&lt;=35400000),13,IF(AND(K56&gt;35400000,K56&lt;=38900000),14,IF(AND(K56&gt;38900000,K56&lt;=43000000),15,IF(AND(K56&gt;43000000,K56&lt;=47400000),16,IF(AND(K56&gt;47400000,K56&lt;=51200000),17,IF(AND(K56&gt;51200000,K56&lt;=55800000),18,IF(AND(K56&gt;55800000,K56&lt;=60400000),19,IF(AND(K56&gt;60400000,K56&lt;=66700000),20,IF(AND(K56&gt;66700000,K56&lt;=74500000),21,IF(AND(K56&gt;74500000,K56&lt;=83200000),22,IF(AND(K56&gt;83200000,K56&lt;=95600000),23,IF(AND(K56&gt;95600000,K56&lt;=110000000),24,IF(AND(K56&gt;110000000,K56&lt;=134000000),25,IF(AND(K56&gt;134000000,K56&lt;=169000000),26,IF(AND(K56&gt;169000000,K56&lt;=221000000),27,IF(AND(K56&gt;221000000,K56&lt;=390000000),28,IF(AND(K56&gt;390000000,K56&lt;=463000000),29,IF(AND(K56&gt;463000000,K56&lt;=561000000),30,IF(AND(K56&gt;561000000,K56&lt;=709000000),31,IF(AND(K56&gt;709000000,K56&lt;=965000000),32,IF(AND(K56&gt;965000000,K56&lt;=1419000000),33,34))))))))))))))))))))))))))))))))))))))))</f>
        <v>0</v>
      </c>
      <c r="S56" s="10"/>
      <c r="T56" s="10"/>
    </row>
  </sheetData>
  <dataValidations count="4">
    <dataValidation type="list" operator="between" allowBlank="1" showDropDown="0" showInputMessage="1" showErrorMessage="1" sqref="J5:J23 J28:J56 I24:I27">
      <formula1>"21-100-01,21-100-02,21-100-32"</formula1>
    </dataValidation>
    <dataValidation type="list" operator="between" allowBlank="1" showDropDown="0" showInputMessage="1" showErrorMessage="1" sqref="G5:G21 F22:G23 F24:F27 G28:G56">
      <formula1>REF!$C$2:$C$13</formula1>
    </dataValidation>
    <dataValidation type="list" operator="between" allowBlank="1" showDropDown="0" showInputMessage="1" showErrorMessage="1" sqref="H24:H27 I28:I56 I5:I23">
      <formula1>REF!$D$2:$D$4</formula1>
    </dataValidation>
    <dataValidation type="list" operator="between" allowBlank="1" showDropDown="0" showInputMessage="1" showErrorMessage="1" sqref="D5:D56">
      <formula1>REF!$B$2:$B$3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tableParts count="1">
    <tablePart r:id="rId_table_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0" workbookViewId="0" showGridLines="true" showRowColHeaders="1">
      <selection activeCell="D14" sqref="D14"/>
    </sheetView>
  </sheetViews>
  <sheetFormatPr defaultRowHeight="14.4" outlineLevelRow="0" outlineLevelCol="0"/>
  <cols>
    <col min="1" max="1" width="17.42578125" customWidth="true" style="0"/>
    <col min="2" max="2" width="24.5703125" customWidth="true" style="0"/>
    <col min="3" max="3" width="67.85546875" customWidth="true" style="0"/>
    <col min="4" max="4" width="23.42578125" customWidth="true" style="0"/>
    <col min="5" max="5" width="100.7109375" customWidth="true" style="0"/>
    <col min="6" max="6" width="105.28515625" customWidth="true" style="0"/>
  </cols>
  <sheetData>
    <row r="1" spans="1: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>
      <c r="A2" t="s">
        <v>0</v>
      </c>
      <c r="B2" t="s">
        <v>23</v>
      </c>
      <c r="C2" t="s">
        <v>24</v>
      </c>
      <c r="D2" s="4" t="s">
        <v>25</v>
      </c>
      <c r="E2" s="7" t="s">
        <v>26</v>
      </c>
    </row>
    <row r="3" spans="1:6">
      <c r="A3" t="s">
        <v>1</v>
      </c>
      <c r="B3" t="s">
        <v>27</v>
      </c>
      <c r="C3" t="s">
        <v>28</v>
      </c>
      <c r="D3" s="4" t="s">
        <v>29</v>
      </c>
      <c r="E3" s="4"/>
    </row>
    <row r="4" spans="1:6">
      <c r="A4" t="s">
        <v>2</v>
      </c>
      <c r="B4" t="s">
        <v>30</v>
      </c>
      <c r="C4" t="s">
        <v>28</v>
      </c>
      <c r="D4" s="4" t="s">
        <v>31</v>
      </c>
      <c r="E4" s="4"/>
    </row>
    <row r="5" spans="1:6">
      <c r="A5" t="s">
        <v>3</v>
      </c>
      <c r="B5" t="s">
        <v>32</v>
      </c>
      <c r="C5" t="s">
        <v>33</v>
      </c>
      <c r="D5" s="5" t="s">
        <v>34</v>
      </c>
      <c r="E5" s="5"/>
    </row>
    <row r="6" spans="1:6">
      <c r="A6" t="s">
        <v>4</v>
      </c>
      <c r="B6" t="s">
        <v>35</v>
      </c>
      <c r="C6" t="s">
        <v>36</v>
      </c>
      <c r="D6" s="4" t="s">
        <v>37</v>
      </c>
      <c r="E6" s="9" t="s">
        <v>38</v>
      </c>
    </row>
    <row r="7" spans="1:6">
      <c r="A7" t="s">
        <v>5</v>
      </c>
      <c r="B7" t="s">
        <v>39</v>
      </c>
      <c r="C7" t="s">
        <v>40</v>
      </c>
      <c r="D7" s="4"/>
      <c r="E7" s="4"/>
    </row>
    <row r="8" spans="1:6">
      <c r="A8" t="s">
        <v>6</v>
      </c>
      <c r="B8" t="s">
        <v>41</v>
      </c>
      <c r="C8" t="s">
        <v>42</v>
      </c>
      <c r="D8" s="5" t="s">
        <v>43</v>
      </c>
      <c r="E8" s="5"/>
    </row>
    <row r="9" spans="1:6">
      <c r="A9" t="s">
        <v>7</v>
      </c>
      <c r="B9" t="s">
        <v>44</v>
      </c>
      <c r="C9" t="s">
        <v>45</v>
      </c>
      <c r="D9" s="5" t="s">
        <v>46</v>
      </c>
      <c r="E9" s="5"/>
    </row>
    <row r="10" spans="1:6">
      <c r="A10" t="s">
        <v>8</v>
      </c>
      <c r="B10" t="s">
        <v>47</v>
      </c>
      <c r="C10" t="s">
        <v>48</v>
      </c>
      <c r="D10" s="4" t="s">
        <v>49</v>
      </c>
      <c r="E10" s="4"/>
    </row>
    <row r="11" spans="1:6">
      <c r="A11" t="s">
        <v>9</v>
      </c>
      <c r="B11" t="s">
        <v>50</v>
      </c>
      <c r="C11" t="s">
        <v>51</v>
      </c>
      <c r="D11" s="4" t="s">
        <v>52</v>
      </c>
      <c r="E11" s="4"/>
    </row>
    <row r="12" spans="1:6">
      <c r="A12" t="s">
        <v>10</v>
      </c>
      <c r="B12" t="s">
        <v>53</v>
      </c>
      <c r="C12" t="s">
        <v>54</v>
      </c>
      <c r="D12" s="5">
        <v>10000000</v>
      </c>
      <c r="E12" s="5"/>
    </row>
    <row r="13" spans="1:6">
      <c r="A13" t="s">
        <v>11</v>
      </c>
      <c r="B13" t="s">
        <v>55</v>
      </c>
      <c r="C13" t="s">
        <v>56</v>
      </c>
      <c r="D13" s="4">
        <v>2</v>
      </c>
      <c r="E13" s="7" t="s">
        <v>57</v>
      </c>
      <c r="F13" t="s">
        <v>58</v>
      </c>
    </row>
    <row r="14" spans="1:6">
      <c r="A14" t="s">
        <v>12</v>
      </c>
      <c r="B14" t="s">
        <v>59</v>
      </c>
      <c r="C14" t="s">
        <v>60</v>
      </c>
      <c r="D14" s="4" t="s">
        <v>61</v>
      </c>
      <c r="E14" s="4"/>
    </row>
    <row r="15" spans="1:6">
      <c r="A15" t="s">
        <v>13</v>
      </c>
      <c r="B15" t="s">
        <v>62</v>
      </c>
      <c r="C15" t="s">
        <v>63</v>
      </c>
      <c r="D15" s="6">
        <v>45673</v>
      </c>
      <c r="E15" s="8" t="s">
        <v>64</v>
      </c>
      <c r="F15" t="s">
        <v>65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E34" sqref="E34"/>
    </sheetView>
  </sheetViews>
  <sheetFormatPr defaultRowHeight="14.4" outlineLevelRow="0" outlineLevelCol="0"/>
  <cols>
    <col min="6" max="6" width="16.5703125" customWidth="true" style="0"/>
    <col min="7" max="7" width="156.140625" customWidth="true" style="0"/>
  </cols>
  <sheetData>
    <row r="1" spans="1:7">
      <c r="F1" t="s">
        <v>9</v>
      </c>
      <c r="G1" t="s">
        <v>66</v>
      </c>
    </row>
    <row r="2" spans="1:7">
      <c r="B2" t="s">
        <v>34</v>
      </c>
      <c r="C2" t="s">
        <v>67</v>
      </c>
      <c r="D2" t="s">
        <v>49</v>
      </c>
      <c r="F2" t="s">
        <v>52</v>
      </c>
      <c r="G2" t="s">
        <v>68</v>
      </c>
    </row>
    <row r="3" spans="1:7">
      <c r="B3" t="s">
        <v>69</v>
      </c>
      <c r="C3" t="s">
        <v>70</v>
      </c>
      <c r="D3" t="s">
        <v>71</v>
      </c>
      <c r="F3" t="s">
        <v>72</v>
      </c>
      <c r="G3" t="s">
        <v>73</v>
      </c>
    </row>
    <row r="4" spans="1:7">
      <c r="C4" t="s">
        <v>74</v>
      </c>
      <c r="D4" t="s">
        <v>75</v>
      </c>
      <c r="F4" t="s">
        <v>76</v>
      </c>
      <c r="G4" t="s">
        <v>77</v>
      </c>
    </row>
    <row r="5" spans="1:7">
      <c r="C5" t="s">
        <v>43</v>
      </c>
    </row>
    <row r="6" spans="1:7">
      <c r="C6" t="s">
        <v>78</v>
      </c>
    </row>
    <row r="7" spans="1:7">
      <c r="C7" t="s">
        <v>79</v>
      </c>
    </row>
    <row r="8" spans="1:7">
      <c r="C8" t="s">
        <v>80</v>
      </c>
    </row>
    <row r="9" spans="1:7">
      <c r="C9" t="s">
        <v>81</v>
      </c>
    </row>
    <row r="10" spans="1:7">
      <c r="C10" t="s">
        <v>82</v>
      </c>
    </row>
    <row r="11" spans="1:7">
      <c r="C11" t="s">
        <v>83</v>
      </c>
    </row>
    <row r="12" spans="1:7">
      <c r="C12" t="s">
        <v>84</v>
      </c>
    </row>
    <row r="13" spans="1:7">
      <c r="C1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BPMP</vt:lpstr>
      <vt:lpstr>REF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USER</cp:lastModifiedBy>
  <dcterms:created xsi:type="dcterms:W3CDTF">2023-02-03T07:28:27+01:00</dcterms:created>
  <dcterms:modified xsi:type="dcterms:W3CDTF">2026-07-08T11:23:33+02:00</dcterms:modified>
  <dc:title/>
  <dc:description/>
  <dc:subject/>
  <cp:keywords/>
  <cp:category/>
</cp:coreProperties>
</file>